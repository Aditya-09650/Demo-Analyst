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Excel Project\"/>
    </mc:Choice>
  </mc:AlternateContent>
  <xr:revisionPtr revIDLastSave="0" documentId="8_{7F2294FA-4FC1-48A4-89F6-8E6F9C0AAC36}" xr6:coauthVersionLast="47" xr6:coauthVersionMax="47" xr10:uidLastSave="{00000000-0000-0000-0000-000000000000}"/>
  <bookViews>
    <workbookView xWindow="-108" yWindow="-108" windowWidth="23256" windowHeight="12456" firstSheet="1" activeTab="1" xr2:uid="{1926D916-3FC6-49B6-8330-6CA0C074BF34}"/>
  </bookViews>
  <sheets>
    <sheet name="Pivot Table" sheetId="1" r:id="rId1"/>
    <sheet name="Dashboard" sheetId="2" r:id="rId2"/>
    <sheet name="Satisfaction score daily trends" sheetId="6" r:id="rId3"/>
    <sheet name="Daily ER No Of Patient" sheetId="3" r:id="rId4"/>
    <sheet name="Average wait time daily trends" sheetId="4" r:id="rId5"/>
  </sheets>
  <definedNames>
    <definedName name="Slicer_Date__Month">#N/A</definedName>
    <definedName name="Slicer_Date__Year">#N/A</definedName>
  </definedNames>
  <calcPr calcId="191029"/>
  <pivotCaches>
    <pivotCache cacheId="231" r:id="rId6"/>
    <pivotCache cacheId="234" r:id="rId7"/>
    <pivotCache cacheId="237" r:id="rId8"/>
    <pivotCache cacheId="240" r:id="rId9"/>
    <pivotCache cacheId="243" r:id="rId10"/>
    <pivotCache cacheId="246" r:id="rId11"/>
    <pivotCache cacheId="249" r:id="rId12"/>
    <pivotCache cacheId="252" r:id="rId13"/>
    <pivotCache cacheId="255" r:id="rId14"/>
    <pivotCache cacheId="258" r:id="rId15"/>
    <pivotCache cacheId="261" r:id="rId16"/>
    <pivotCache cacheId="264"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ab1d4892-6baa-4679-930f-edb377ef4fe7" name="Hospital Emergency Room Data" connection="Query - Hospital Emergency Room Data"/>
          <x15:modelTable id="Calendar_Table_ae9ae019-74b1-4e0f-be5d-3cd779bd4aae"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2" i="1" l="1"/>
  <c r="C52" i="1"/>
  <c r="A52" i="1"/>
  <c r="B51" i="1"/>
  <c r="C51" i="1"/>
  <c r="A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F078C3-3FDD-4F2F-AAB2-58C9E8520401}" name="Query - Calendar_Table" description="Connection to the 'Calendar_Table' query in the workbook." type="100" refreshedVersion="8" minRefreshableVersion="5">
    <extLst>
      <ext xmlns:x15="http://schemas.microsoft.com/office/spreadsheetml/2010/11/main" uri="{DE250136-89BD-433C-8126-D09CA5730AF9}">
        <x15:connection id="76225ccf-1264-4cbc-b97b-3dd082dd66e7"/>
      </ext>
    </extLst>
  </connection>
  <connection id="2" xr16:uid="{16AB2C54-C139-4E1B-AE3F-EC44730C2609}"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26c42f65-f374-4d6e-beef-042ee3eacaa9"/>
      </ext>
    </extLst>
  </connection>
  <connection id="3" xr16:uid="{F84F8BD3-A517-42F9-A63C-534CC16D9F05}"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<sst xmlns="http://schemas.openxmlformats.org/spreadsheetml/2006/main" count="147" uniqueCount="68">
  <si>
    <t>Distinct Count of Patient Id</t>
  </si>
  <si>
    <t>Average of Patient Waittime</t>
  </si>
  <si>
    <t>Average of Patient Satisfaction Score</t>
  </si>
  <si>
    <t>Row Labels</t>
  </si>
  <si>
    <t>Grand Total</t>
  </si>
  <si>
    <t xml:space="preserve">                           Showing a daily trends with an area sparkline to spot patterns like busy days or seasonal trends.</t>
  </si>
  <si>
    <t>Count of Patient Admission Flag</t>
  </si>
  <si>
    <t>Admitted</t>
  </si>
  <si>
    <t>Non Admitted</t>
  </si>
  <si>
    <t>Count of Patient Admission Flag2</t>
  </si>
  <si>
    <t xml:space="preserve">Admission Status </t>
  </si>
  <si>
    <t>% Status</t>
  </si>
  <si>
    <t>patient</t>
  </si>
  <si>
    <t>Count of Age Group</t>
  </si>
  <si>
    <t>0-9</t>
  </si>
  <si>
    <t>10-19</t>
  </si>
  <si>
    <t>20-29</t>
  </si>
  <si>
    <t>30-39</t>
  </si>
  <si>
    <t>40-49</t>
  </si>
  <si>
    <t>50-59</t>
  </si>
  <si>
    <t>60-69</t>
  </si>
  <si>
    <t>70-79</t>
  </si>
  <si>
    <t>On Time</t>
  </si>
  <si>
    <t>Delay</t>
  </si>
  <si>
    <t>Count of Patient Attend Status</t>
  </si>
  <si>
    <t>Count of Patient Gender</t>
  </si>
  <si>
    <t>Female</t>
  </si>
  <si>
    <t>Male</t>
  </si>
  <si>
    <t>Count of Department Referral</t>
  </si>
  <si>
    <t>Cardiology</t>
  </si>
  <si>
    <t>Gastroenterology</t>
  </si>
  <si>
    <t>General Practice</t>
  </si>
  <si>
    <t>Neurology</t>
  </si>
  <si>
    <t>None</t>
  </si>
  <si>
    <t>Orthopedics</t>
  </si>
  <si>
    <t>Physiotherapy</t>
  </si>
  <si>
    <t>Renal</t>
  </si>
  <si>
    <t>2023</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</si>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</sst>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2"/>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theme="3" tint="0.749992370372631"/>
        <bgColor indexed="64"/>
      </patternFill>
    </fill>
    <fill>
      <patternFill patternType="solid">
        <fgColor theme="2"/>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3" borderId="0" xfId="0" applyFill="1" applyAlignment="1">
      <alignment horizontal="left" vertical="center"/>
    </xf>
    <xf numFmtId="0" fontId="1" fillId="3" borderId="0" xfId="0" applyFont="1" applyFill="1" applyAlignment="1">
      <alignment horizontal="left" vertical="center"/>
    </xf>
    <xf numFmtId="1" fontId="0" fillId="0" borderId="0" xfId="0" applyNumberFormat="1"/>
    <xf numFmtId="10" fontId="0" fillId="0" borderId="0" xfId="0" applyNumberFormat="1"/>
    <xf numFmtId="9" fontId="0" fillId="0" borderId="0" xfId="1" applyFont="1"/>
    <xf numFmtId="0" fontId="0" fillId="4" borderId="0" xfId="0" applyFill="1"/>
    <xf numFmtId="0" fontId="0" fillId="4" borderId="0" xfId="0" applyFill="1" applyAlignment="1">
      <alignment horizontal="center" vertical="center"/>
    </xf>
    <xf numFmtId="0" fontId="0" fillId="3" borderId="0" xfId="0" applyFill="1" applyAlignment="1">
      <alignment horizontal="center" vertical="center"/>
    </xf>
    <xf numFmtId="9" fontId="0" fillId="3" borderId="0" xfId="1" applyFont="1" applyFill="1" applyAlignment="1">
      <alignment horizontal="center" vertical="center"/>
    </xf>
    <xf numFmtId="0" fontId="0" fillId="0" borderId="0" xfId="0" applyNumberFormat="1"/>
  </cellXfs>
  <cellStyles count="2">
    <cellStyle name="Normal" xfId="0" builtinId="0"/>
    <cellStyle name="Percent" xfId="1" builtinId="5"/>
  </cellStyles>
  <dxfs count="99">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1" formatCode="0"/>
    </dxf>
    <dxf>
      <numFmt numFmtId="1" formatCode="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font>
        <sz val="8"/>
      </font>
    </dxf>
    <dxf>
      <fill>
        <patternFill>
          <bgColor theme="7" tint="0.59996337778862885"/>
        </patternFill>
      </fill>
    </dxf>
    <dxf>
      <font>
        <sz val="8"/>
      </font>
      <fill>
        <patternFill>
          <bgColor theme="2"/>
        </patternFill>
      </fill>
    </dxf>
  </dxfs>
  <tableStyles count="2" defaultTableStyle="TableStyleMedium2" defaultPivotStyle="PivotStyleLight16">
    <tableStyle name="My style" pivot="0" table="0" count="9" xr9:uid="{8CA72963-A3A4-4165-AF6E-69D744308497}">
      <tableStyleElement type="wholeTable" dxfId="98"/>
      <tableStyleElement type="headerRow" dxfId="97"/>
    </tableStyle>
    <tableStyle name="Slicer Style 1" pivot="0" table="0" count="1" xr9:uid="{B58693D1-755E-4D01-BF5A-233155633F8B}">
      <tableStyleElement type="wholeTable" dxfId="96"/>
    </tableStyle>
  </tableStyles>
  <extLst>
    <ext xmlns:x14="http://schemas.microsoft.com/office/spreadsheetml/2009/9/main" uri="{46F421CA-312F-682f-3DD2-61675219B42D}">
      <x14:dxfs count="7">
        <dxf>
          <fill>
            <patternFill>
              <bgColor theme="5" tint="-0.24994659260841701"/>
            </patternFill>
          </fill>
        </dxf>
        <dxf>
          <fill>
            <patternFill>
              <bgColor theme="6" tint="0.79998168889431442"/>
            </patternFill>
          </fill>
        </dxf>
        <dxf>
          <font>
            <sz val="8"/>
          </font>
          <fill>
            <patternFill>
              <bgColor theme="9" tint="-0.24994659260841701"/>
            </patternFill>
          </fill>
        </dxf>
        <dxf>
          <fill>
            <patternFill>
              <bgColor theme="8" tint="0.79998168889431442"/>
            </patternFill>
          </fill>
        </dxf>
        <dxf>
          <fill>
            <patternFill>
              <bgColor theme="5" tint="0.79998168889431442"/>
            </patternFill>
          </fill>
        </dxf>
        <dxf>
          <fill>
            <patternFill>
              <bgColor theme="3" tint="0.499984740745262"/>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My style">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Emegerency Room Dashboard.xlsx]Pivot Table!PivotTable7</c:name>
    <c:fmtId val="8"/>
  </c:pivotSource>
  <c:chart>
    <c:autoTitleDeleted val="0"/>
    <c:pivotFmts>
      <c:pivotFmt>
        <c:idx val="0"/>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solidFill>
              <a:schemeClr val="accent1"/>
            </a:solidFill>
          </a:ln>
          <a:effectLst/>
        </c:spPr>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83C5AE0F-2896-4831-B9EB-FE9476362C89}" type="CELLRANGE">
                  <a:rPr lang="en-US"/>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1"/>
          </a:solidFill>
          <a:ln>
            <a:solidFill>
              <a:schemeClr val="accent1"/>
            </a:solidFill>
          </a:ln>
          <a:effectLst/>
        </c:spPr>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057F10DF-5171-445B-8714-B63CA9338B0B}" type="CELLRANGE">
                  <a:rPr lang="en-US"/>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0.11635214939982447"/>
          <c:y val="0.1740307719292476"/>
          <c:w val="0.86037742072021062"/>
          <c:h val="0.68674461052735436"/>
        </c:manualLayout>
      </c:layout>
      <c:barChart>
        <c:barDir val="bar"/>
        <c:grouping val="clustered"/>
        <c:varyColors val="0"/>
        <c:ser>
          <c:idx val="0"/>
          <c:order val="0"/>
          <c:tx>
            <c:strRef>
              <c:f>'Pivot Table'!$C$46:$C$47</c:f>
              <c:strCache>
                <c:ptCount val="1"/>
                <c:pt idx="0">
                  <c:v>Count of Patient Admission Flag</c:v>
                </c:pt>
              </c:strCache>
            </c:strRef>
          </c:tx>
          <c:spPr>
            <a:solidFill>
              <a:schemeClr val="accent1"/>
            </a:solidFill>
            <a:ln>
              <a:solidFill>
                <a:schemeClr val="accent1"/>
              </a:solidFill>
            </a:ln>
            <a:effectLst/>
          </c:spPr>
          <c:invertIfNegative val="0"/>
          <c:dPt>
            <c:idx val="0"/>
            <c:invertIfNegative val="0"/>
            <c:bubble3D val="0"/>
          </c:dPt>
          <c:dPt>
            <c:idx val="1"/>
            <c:invertIfNegative val="0"/>
            <c:bubble3D val="0"/>
          </c:dPt>
          <c:dLbls>
            <c:dLbl>
              <c:idx val="0"/>
              <c:tx>
                <c:rich>
                  <a:bodyPr/>
                  <a:lstStyle/>
                  <a:p>
                    <a:fld id="{83C5AE0F-2896-4831-B9EB-FE9476362C8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dLbl>
              <c:idx val="1"/>
              <c:tx>
                <c:rich>
                  <a:bodyPr/>
                  <a:lstStyle/>
                  <a:p>
                    <a:fld id="{057F10DF-5171-445B-8714-B63CA9338B0B}"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Table'!$C$46:$C$47</c:f>
              <c:strCache>
                <c:ptCount val="2"/>
                <c:pt idx="0">
                  <c:v>Admitted</c:v>
                </c:pt>
                <c:pt idx="1">
                  <c:v>Non Admitted</c:v>
                </c:pt>
              </c:strCache>
            </c:strRef>
          </c:cat>
          <c:val>
            <c:numRef>
              <c:f>'Pivot Table'!$C$46:$C$47</c:f>
              <c:numCache>
                <c:formatCode>0</c:formatCode>
                <c:ptCount val="2"/>
                <c:pt idx="0">
                  <c:v>249</c:v>
                </c:pt>
                <c:pt idx="1">
                  <c:v>220</c:v>
                </c:pt>
              </c:numCache>
            </c:numRef>
          </c:val>
          <c:extLst>
            <c:ext xmlns:c16="http://schemas.microsoft.com/office/drawing/2014/chart" uri="{C3380CC4-5D6E-409C-BE32-E72D297353CC}">
              <c16:uniqueId val="{00000000-CFAB-4A17-9865-19E0F46B05B2}"/>
            </c:ext>
          </c:extLst>
        </c:ser>
        <c:ser>
          <c:idx val="1"/>
          <c:order val="1"/>
          <c:tx>
            <c:strRef>
              <c:f>'Pivot Table'!$C$46:$C$47</c:f>
              <c:strCache>
                <c:ptCount val="1"/>
                <c:pt idx="0">
                  <c:v>Count of Patient Admission Flag2</c:v>
                </c:pt>
              </c:strCache>
            </c:strRef>
          </c:tx>
          <c:spPr>
            <a:solidFill>
              <a:schemeClr val="accent2"/>
            </a:solidFill>
            <a:ln>
              <a:noFill/>
            </a:ln>
            <a:effectLst/>
          </c:spPr>
          <c:invertIfNegative val="0"/>
          <c:cat>
            <c:strRef>
              <c:f>'Pivot Table'!$C$46:$C$47</c:f>
              <c:strCache>
                <c:ptCount val="2"/>
                <c:pt idx="0">
                  <c:v>Admitted</c:v>
                </c:pt>
                <c:pt idx="1">
                  <c:v>Non Admitted</c:v>
                </c:pt>
              </c:strCache>
            </c:strRef>
          </c:cat>
          <c:val>
            <c:numRef>
              <c:f>'Pivot Table'!$C$46:$C$47</c:f>
              <c:numCache>
                <c:formatCode>0.00%</c:formatCode>
                <c:ptCount val="2"/>
                <c:pt idx="0">
                  <c:v>0.53091684434968012</c:v>
                </c:pt>
                <c:pt idx="1">
                  <c:v>0.46908315565031983</c:v>
                </c:pt>
              </c:numCache>
            </c:numRef>
          </c:val>
          <c:extLst>
            <c:ext xmlns:c16="http://schemas.microsoft.com/office/drawing/2014/chart" uri="{C3380CC4-5D6E-409C-BE32-E72D297353CC}">
              <c16:uniqueId val="{00000001-CFAB-4A17-9865-19E0F46B05B2}"/>
            </c:ext>
          </c:extLst>
        </c:ser>
        <c:dLbls>
          <c:showLegendKey val="0"/>
          <c:showVal val="0"/>
          <c:showCatName val="0"/>
          <c:showSerName val="0"/>
          <c:showPercent val="0"/>
          <c:showBubbleSize val="0"/>
        </c:dLbls>
        <c:gapWidth val="199"/>
        <c:overlap val="1"/>
        <c:axId val="1624229088"/>
        <c:axId val="1624212768"/>
      </c:barChart>
      <c:catAx>
        <c:axId val="1624229088"/>
        <c:scaling>
          <c:orientation val="minMax"/>
        </c:scaling>
        <c:delete val="1"/>
        <c:axPos val="l"/>
        <c:numFmt formatCode="General" sourceLinked="1"/>
        <c:majorTickMark val="none"/>
        <c:minorTickMark val="none"/>
        <c:tickLblPos val="nextTo"/>
        <c:crossAx val="1624212768"/>
        <c:crosses val="autoZero"/>
        <c:auto val="1"/>
        <c:lblAlgn val="ctr"/>
        <c:lblOffset val="100"/>
        <c:noMultiLvlLbl val="0"/>
      </c:catAx>
      <c:valAx>
        <c:axId val="1624212768"/>
        <c:scaling>
          <c:orientation val="minMax"/>
        </c:scaling>
        <c:delete val="1"/>
        <c:axPos val="b"/>
        <c:numFmt formatCode="0" sourceLinked="1"/>
        <c:majorTickMark val="none"/>
        <c:minorTickMark val="none"/>
        <c:tickLblPos val="nextTo"/>
        <c:crossAx val="1624229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Emegerency Room Dashboard.xlsx]Pivot Table!PivotTable1</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022688126387136E-4"/>
          <c:y val="0.14232339012073955"/>
          <c:w val="0.99983977311873617"/>
          <c:h val="0.85767660987926031"/>
        </c:manualLayout>
      </c:layout>
      <c:areaChart>
        <c:grouping val="standard"/>
        <c:varyColors val="0"/>
        <c:ser>
          <c:idx val="0"/>
          <c:order val="0"/>
          <c:tx>
            <c:strRef>
              <c:f>'Pivot Table'!$F$11</c:f>
              <c:strCache>
                <c:ptCount val="1"/>
                <c:pt idx="0">
                  <c:v>Total</c:v>
                </c:pt>
              </c:strCache>
            </c:strRef>
          </c:tx>
          <c:spPr>
            <a:solidFill>
              <a:schemeClr val="accent1"/>
            </a:solidFill>
            <a:ln w="25400">
              <a:noFill/>
            </a:ln>
            <a:effectLst/>
          </c:spPr>
          <c:cat>
            <c:strRef>
              <c:f>'Pivot Table'!$E$12:$E$42</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Table'!$F$12:$F$42</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0-54B9-4352-831F-4FB4A47CB0F0}"/>
            </c:ext>
          </c:extLst>
        </c:ser>
        <c:dLbls>
          <c:showLegendKey val="0"/>
          <c:showVal val="0"/>
          <c:showCatName val="0"/>
          <c:showSerName val="0"/>
          <c:showPercent val="0"/>
          <c:showBubbleSize val="0"/>
        </c:dLbls>
        <c:axId val="575608928"/>
        <c:axId val="575605088"/>
      </c:areaChart>
      <c:catAx>
        <c:axId val="575608928"/>
        <c:scaling>
          <c:orientation val="minMax"/>
        </c:scaling>
        <c:delete val="1"/>
        <c:axPos val="b"/>
        <c:numFmt formatCode="General" sourceLinked="1"/>
        <c:majorTickMark val="out"/>
        <c:minorTickMark val="none"/>
        <c:tickLblPos val="nextTo"/>
        <c:crossAx val="575605088"/>
        <c:crosses val="autoZero"/>
        <c:auto val="1"/>
        <c:lblAlgn val="ctr"/>
        <c:lblOffset val="100"/>
        <c:noMultiLvlLbl val="0"/>
      </c:catAx>
      <c:valAx>
        <c:axId val="575605088"/>
        <c:scaling>
          <c:orientation val="minMax"/>
        </c:scaling>
        <c:delete val="1"/>
        <c:axPos val="l"/>
        <c:numFmt formatCode="General" sourceLinked="1"/>
        <c:majorTickMark val="none"/>
        <c:minorTickMark val="none"/>
        <c:tickLblPos val="nextTo"/>
        <c:crossAx val="5756089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ju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Emegerency Room Dashboard.xlsx]Pivot Table!PivotTable5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943903913494771E-2"/>
          <c:y val="0.38053413057220525"/>
          <c:w val="0.88411219217301051"/>
          <c:h val="0.50297608492012658"/>
        </c:manualLayout>
      </c:layout>
      <c:areaChart>
        <c:grouping val="standard"/>
        <c:varyColors val="0"/>
        <c:ser>
          <c:idx val="0"/>
          <c:order val="0"/>
          <c:tx>
            <c:strRef>
              <c:f>'Pivot Table'!$J$11</c:f>
              <c:strCache>
                <c:ptCount val="1"/>
                <c:pt idx="0">
                  <c:v>Total</c:v>
                </c:pt>
              </c:strCache>
            </c:strRef>
          </c:tx>
          <c:spPr>
            <a:solidFill>
              <a:schemeClr val="accent1"/>
            </a:solidFill>
            <a:ln w="25400">
              <a:noFill/>
            </a:ln>
            <a:effectLst/>
          </c:spPr>
          <c:cat>
            <c:strRef>
              <c:f>'Pivot Table'!$I$12:$I$42</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Table'!$J$12:$J$42</c:f>
              <c:numCache>
                <c:formatCode>0.00</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0-9598-4AD8-A892-3A76FA5A91D5}"/>
            </c:ext>
          </c:extLst>
        </c:ser>
        <c:dLbls>
          <c:showLegendKey val="0"/>
          <c:showVal val="0"/>
          <c:showCatName val="0"/>
          <c:showSerName val="0"/>
          <c:showPercent val="0"/>
          <c:showBubbleSize val="0"/>
        </c:dLbls>
        <c:axId val="672405888"/>
        <c:axId val="672406368"/>
      </c:areaChart>
      <c:catAx>
        <c:axId val="672405888"/>
        <c:scaling>
          <c:orientation val="minMax"/>
        </c:scaling>
        <c:delete val="1"/>
        <c:axPos val="b"/>
        <c:numFmt formatCode="General" sourceLinked="1"/>
        <c:majorTickMark val="out"/>
        <c:minorTickMark val="none"/>
        <c:tickLblPos val="nextTo"/>
        <c:crossAx val="672406368"/>
        <c:crosses val="autoZero"/>
        <c:auto val="1"/>
        <c:lblAlgn val="ctr"/>
        <c:lblOffset val="100"/>
        <c:noMultiLvlLbl val="0"/>
      </c:catAx>
      <c:valAx>
        <c:axId val="672406368"/>
        <c:scaling>
          <c:orientation val="minMax"/>
        </c:scaling>
        <c:delete val="1"/>
        <c:axPos val="l"/>
        <c:numFmt formatCode="0.00" sourceLinked="1"/>
        <c:majorTickMark val="none"/>
        <c:minorTickMark val="none"/>
        <c:tickLblPos val="nextTo"/>
        <c:crossAx val="67240588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Emegerency Room Dashboard.xlsx]Pivot Table!PivotTable6</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919495011570987"/>
          <c:w val="1"/>
          <c:h val="0.60161009976858026"/>
        </c:manualLayout>
      </c:layout>
      <c:areaChart>
        <c:grouping val="standard"/>
        <c:varyColors val="0"/>
        <c:ser>
          <c:idx val="0"/>
          <c:order val="0"/>
          <c:tx>
            <c:strRef>
              <c:f>'Pivot Table'!$N$10</c:f>
              <c:strCache>
                <c:ptCount val="1"/>
                <c:pt idx="0">
                  <c:v>Total</c:v>
                </c:pt>
              </c:strCache>
            </c:strRef>
          </c:tx>
          <c:spPr>
            <a:solidFill>
              <a:schemeClr val="accent1"/>
            </a:solidFill>
            <a:ln w="25400">
              <a:noFill/>
            </a:ln>
            <a:effectLst/>
          </c:spPr>
          <c:cat>
            <c:strRef>
              <c:f>'Pivot Table'!$M$11:$M$41</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Table'!$N$11:$N$41</c:f>
              <c:numCache>
                <c:formatCode>0.00</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3</c:v>
                </c:pt>
                <c:pt idx="22">
                  <c:v>5.333333333333333</c:v>
                </c:pt>
                <c:pt idx="23">
                  <c:v>7.333333333333333</c:v>
                </c:pt>
                <c:pt idx="24">
                  <c:v>5.6</c:v>
                </c:pt>
                <c:pt idx="25">
                  <c:v>4.4000000000000004</c:v>
                </c:pt>
                <c:pt idx="26">
                  <c:v>4</c:v>
                </c:pt>
                <c:pt idx="27">
                  <c:v>3</c:v>
                </c:pt>
                <c:pt idx="28">
                  <c:v>5.666666666666667</c:v>
                </c:pt>
                <c:pt idx="29">
                  <c:v>5.8571428571428568</c:v>
                </c:pt>
              </c:numCache>
            </c:numRef>
          </c:val>
          <c:extLst>
            <c:ext xmlns:c16="http://schemas.microsoft.com/office/drawing/2014/chart" uri="{C3380CC4-5D6E-409C-BE32-E72D297353CC}">
              <c16:uniqueId val="{00000000-FC87-49C6-950B-8D0A93A3501F}"/>
            </c:ext>
          </c:extLst>
        </c:ser>
        <c:dLbls>
          <c:showLegendKey val="0"/>
          <c:showVal val="0"/>
          <c:showCatName val="0"/>
          <c:showSerName val="0"/>
          <c:showPercent val="0"/>
          <c:showBubbleSize val="0"/>
        </c:dLbls>
        <c:axId val="1837808255"/>
        <c:axId val="1837810175"/>
      </c:areaChart>
      <c:catAx>
        <c:axId val="1837808255"/>
        <c:scaling>
          <c:orientation val="minMax"/>
        </c:scaling>
        <c:delete val="1"/>
        <c:axPos val="b"/>
        <c:numFmt formatCode="General" sourceLinked="1"/>
        <c:majorTickMark val="out"/>
        <c:minorTickMark val="none"/>
        <c:tickLblPos val="nextTo"/>
        <c:crossAx val="1837810175"/>
        <c:crosses val="autoZero"/>
        <c:auto val="1"/>
        <c:lblAlgn val="ctr"/>
        <c:lblOffset val="100"/>
        <c:noMultiLvlLbl val="0"/>
      </c:catAx>
      <c:valAx>
        <c:axId val="1837810175"/>
        <c:scaling>
          <c:orientation val="minMax"/>
        </c:scaling>
        <c:delete val="1"/>
        <c:axPos val="l"/>
        <c:numFmt formatCode="0.00" sourceLinked="1"/>
        <c:majorTickMark val="none"/>
        <c:minorTickMark val="none"/>
        <c:tickLblPos val="nextTo"/>
        <c:crossAx val="18378082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Emegerency Room Dashboard.xlsx]Pivot Table!PivotTable8</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480980733701663E-2"/>
          <c:y val="1.167724821508204E-2"/>
          <c:w val="0.97554437828802942"/>
          <c:h val="0.68333325671096956"/>
        </c:manualLayout>
      </c:layout>
      <c:barChart>
        <c:barDir val="col"/>
        <c:grouping val="clustered"/>
        <c:varyColors val="0"/>
        <c:ser>
          <c:idx val="0"/>
          <c:order val="0"/>
          <c:tx>
            <c:strRef>
              <c:f>'Pivot Table'!$G$50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Table'!$F$51:$F$59</c:f>
              <c:strCache>
                <c:ptCount val="8"/>
                <c:pt idx="0">
                  <c:v>0-9</c:v>
                </c:pt>
                <c:pt idx="1">
                  <c:v>10-19</c:v>
                </c:pt>
                <c:pt idx="2">
                  <c:v>20-29</c:v>
                </c:pt>
                <c:pt idx="3">
                  <c:v>30-39</c:v>
                </c:pt>
                <c:pt idx="4">
                  <c:v>40-49</c:v>
                </c:pt>
                <c:pt idx="5">
                  <c:v>50-59</c:v>
                </c:pt>
                <c:pt idx="6">
                  <c:v>60-69</c:v>
                </c:pt>
                <c:pt idx="7">
                  <c:v>70-79</c:v>
                </c:pt>
              </c:strCache>
            </c:strRef>
          </c:cat>
          <c:val>
            <c:numRef>
              <c:f>'Pivot Table'!$G$51:$G$59</c:f>
              <c:numCache>
                <c:formatCode>0</c:formatCode>
                <c:ptCount val="8"/>
                <c:pt idx="0">
                  <c:v>61</c:v>
                </c:pt>
                <c:pt idx="1">
                  <c:v>56</c:v>
                </c:pt>
                <c:pt idx="2">
                  <c:v>58</c:v>
                </c:pt>
                <c:pt idx="3">
                  <c:v>56</c:v>
                </c:pt>
                <c:pt idx="4">
                  <c:v>66</c:v>
                </c:pt>
                <c:pt idx="5">
                  <c:v>62</c:v>
                </c:pt>
                <c:pt idx="6">
                  <c:v>58</c:v>
                </c:pt>
                <c:pt idx="7">
                  <c:v>52</c:v>
                </c:pt>
              </c:numCache>
            </c:numRef>
          </c:val>
          <c:extLst>
            <c:ext xmlns:c16="http://schemas.microsoft.com/office/drawing/2014/chart" uri="{C3380CC4-5D6E-409C-BE32-E72D297353CC}">
              <c16:uniqueId val="{00000000-C0F9-48E6-BCE9-9361DF8F8DB1}"/>
            </c:ext>
          </c:extLst>
        </c:ser>
        <c:dLbls>
          <c:showLegendKey val="0"/>
          <c:showVal val="0"/>
          <c:showCatName val="0"/>
          <c:showSerName val="0"/>
          <c:showPercent val="0"/>
          <c:showBubbleSize val="0"/>
        </c:dLbls>
        <c:gapWidth val="219"/>
        <c:overlap val="-27"/>
        <c:axId val="1624344288"/>
        <c:axId val="1624345248"/>
      </c:barChart>
      <c:catAx>
        <c:axId val="162434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624345248"/>
        <c:crosses val="autoZero"/>
        <c:auto val="1"/>
        <c:lblAlgn val="ctr"/>
        <c:lblOffset val="100"/>
        <c:noMultiLvlLbl val="0"/>
      </c:catAx>
      <c:valAx>
        <c:axId val="1624345248"/>
        <c:scaling>
          <c:orientation val="minMax"/>
        </c:scaling>
        <c:delete val="1"/>
        <c:axPos val="l"/>
        <c:numFmt formatCode="0" sourceLinked="1"/>
        <c:majorTickMark val="none"/>
        <c:minorTickMark val="none"/>
        <c:tickLblPos val="nextTo"/>
        <c:crossAx val="162434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Emegerency Room Dashboard.xlsx]Pivot Table!PivotTable9</c:name>
    <c:fmtId val="25"/>
  </c:pivotSource>
  <c:chart>
    <c:autoTitleDeleted val="1"/>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0"/>
      </c:pivotFmt>
      <c:pivotFmt>
        <c:idx val="11"/>
      </c:pivotFmt>
      <c:pivotFmt>
        <c:idx val="12"/>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E5FE778-C9B9-4951-AE52-CC820582BBB4}" type="PERCENTAGE">
                  <a:rPr lang="en-US" baseline="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2"/>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F8637D8-7FEE-44FE-BC33-BC263BADCEAA}" type="PERCENTAGE">
                  <a:rPr lang="en-US" baseline="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E5FE778-C9B9-4951-AE52-CC820582BBB4}" type="PERCENTAGE">
                  <a:rPr lang="en-US" baseline="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7"/>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F8637D8-7FEE-44FE-BC33-BC263BADCEAA}" type="PERCENTAGE">
                  <a:rPr lang="en-US" baseline="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E5FE778-C9B9-4951-AE52-CC820582BBB4}"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0"/>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F8637D8-7FEE-44FE-BC33-BC263BADCEAA}"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5626538601234916"/>
          <c:y val="0.17123775836127023"/>
          <c:w val="0.5420497195205618"/>
          <c:h val="0.68622745924846706"/>
        </c:manualLayout>
      </c:layout>
      <c:pieChart>
        <c:varyColors val="1"/>
        <c:ser>
          <c:idx val="0"/>
          <c:order val="0"/>
          <c:tx>
            <c:strRef>
              <c:f>'Pivot Table'!$K$49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dLbl>
              <c:idx val="0"/>
              <c:tx>
                <c:rich>
                  <a:bodyPr/>
                  <a:lstStyle/>
                  <a:p>
                    <a:fld id="{2E5FE778-C9B9-4951-AE52-CC820582BBB4}" type="PERCENTAGE">
                      <a:rPr lang="en-US" baseline="0"/>
                      <a:pPr/>
                      <a:t>[PERCENTAGE]</a:t>
                    </a:fld>
                    <a:endParaRPr lang="en-IN"/>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dLbl>
              <c:idx val="1"/>
              <c:tx>
                <c:rich>
                  <a:bodyPr/>
                  <a:lstStyle/>
                  <a:p>
                    <a:fld id="{EF8637D8-7FEE-44FE-BC33-BC263BADCEAA}" type="PERCENTAGE">
                      <a:rPr lang="en-US" baseline="0"/>
                      <a:pPr/>
                      <a:t>[PERCENTAGE]</a:t>
                    </a:fld>
                    <a:endParaRPr lang="en-IN"/>
                  </a:p>
                </c:rich>
              </c:tx>
              <c:dLblPos val="inEnd"/>
              <c:showLegendKey val="0"/>
              <c:showVal val="0"/>
              <c:showCatName val="1"/>
              <c:showSerName val="0"/>
              <c:showPercent val="1"/>
              <c:showBubbleSize val="0"/>
              <c:extLst>
                <c:ext xmlns:c15="http://schemas.microsoft.com/office/drawing/2012/chart" uri="{CE6537A1-D6FC-4f65-9D91-7224C49458BB}">
                  <c15:dlblFieldTable/>
                  <c15:showDataLabelsRange val="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Table'!$J$50:$J$52</c:f>
              <c:strCache>
                <c:ptCount val="2"/>
                <c:pt idx="0">
                  <c:v>Delay</c:v>
                </c:pt>
                <c:pt idx="1">
                  <c:v>On Time</c:v>
                </c:pt>
              </c:strCache>
            </c:strRef>
          </c:cat>
          <c:val>
            <c:numRef>
              <c:f>'Pivot Table'!$K$50:$K$52</c:f>
              <c:numCache>
                <c:formatCode>0</c:formatCode>
                <c:ptCount val="2"/>
                <c:pt idx="0">
                  <c:v>257</c:v>
                </c:pt>
                <c:pt idx="1">
                  <c:v>212</c:v>
                </c:pt>
              </c:numCache>
            </c:numRef>
          </c:val>
          <c:extLst>
            <c:ext xmlns:c16="http://schemas.microsoft.com/office/drawing/2014/chart" uri="{C3380CC4-5D6E-409C-BE32-E72D297353CC}">
              <c16:uniqueId val="{00000004-618A-484D-BB66-4423B5EE6F66}"/>
            </c:ext>
          </c:extLst>
        </c:ser>
        <c:dLbls>
          <c:dLblPos val="inEnd"/>
          <c:showLegendKey val="0"/>
          <c:showVal val="0"/>
          <c:showCatName val="1"/>
          <c:showSerName val="0"/>
          <c:showPercent val="0"/>
          <c:showBubbleSize val="0"/>
          <c:showLeaderLines val="1"/>
        </c:dLbls>
        <c:firstSliceAng val="0"/>
      </c:pieChart>
      <c:spPr>
        <a:noFill/>
        <a:ln>
          <a:noFill/>
        </a:ln>
        <a:effectLst/>
      </c:spPr>
    </c:plotArea>
    <c:legend>
      <c:legendPos val="r"/>
      <c:layout>
        <c:manualLayout>
          <c:xMode val="edge"/>
          <c:yMode val="edge"/>
          <c:x val="2.7640927276452957E-2"/>
          <c:y val="1.2448970513254824E-2"/>
          <c:w val="0.60345797123844014"/>
          <c:h val="0.15002885659967408"/>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Emegerency Room Dashboard.xlsx]Pivot Table!PivotTable10</c:name>
    <c:fmtId val="2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dLbl>
          <c:idx val="0"/>
          <c:layout>
            <c:manualLayout>
              <c:x val="4.3394198186569683E-3"/>
              <c:y val="9.9897309404036322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8153989364041093"/>
                  <c:h val="0.13827066989408537"/>
                </c:manualLayout>
              </c15:layout>
            </c:ext>
          </c:extLst>
        </c:dLbl>
      </c:pivotFmt>
      <c:pivotFmt>
        <c:idx val="6"/>
        <c:spPr>
          <a:solidFill>
            <a:schemeClr val="accent1"/>
          </a:solidFill>
          <a:ln>
            <a:noFill/>
          </a:ln>
          <a:effectLst>
            <a:outerShdw blurRad="317500" algn="ctr" rotWithShape="0">
              <a:prstClr val="black">
                <a:alpha val="25000"/>
              </a:prstClr>
            </a:outerShdw>
          </a:effectLst>
        </c:spPr>
        <c:dLbl>
          <c:idx val="0"/>
          <c:layout>
            <c:manualLayout>
              <c:x val="8.564510858866196E-3"/>
              <c:y val="-6.633010762042690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109453961774889"/>
          <c:y val="0.20386183354839377"/>
          <c:w val="0.54511453728992021"/>
          <c:h val="0.69021106764206408"/>
        </c:manualLayout>
      </c:layout>
      <c:doughnutChart>
        <c:varyColors val="1"/>
        <c:ser>
          <c:idx val="0"/>
          <c:order val="0"/>
          <c:tx>
            <c:strRef>
              <c:f>'Pivot Table'!$K$56</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dLbl>
              <c:idx val="0"/>
              <c:layout>
                <c:manualLayout>
                  <c:x val="4.3394198186569683E-3"/>
                  <c:y val="9.9897309404036322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8153989364041093"/>
                      <c:h val="0.13827066989408537"/>
                    </c:manualLayout>
                  </c15:layout>
                </c:ext>
              </c:extLst>
            </c:dLbl>
            <c:dLbl>
              <c:idx val="1"/>
              <c:layout>
                <c:manualLayout>
                  <c:x val="8.564510858866196E-3"/>
                  <c:y val="-6.6330107620426904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Table'!$J$57:$J$59</c:f>
              <c:strCache>
                <c:ptCount val="2"/>
                <c:pt idx="0">
                  <c:v>Female</c:v>
                </c:pt>
                <c:pt idx="1">
                  <c:v>Male</c:v>
                </c:pt>
              </c:strCache>
            </c:strRef>
          </c:cat>
          <c:val>
            <c:numRef>
              <c:f>'Pivot Table'!$K$57:$K$59</c:f>
              <c:numCache>
                <c:formatCode>0</c:formatCode>
                <c:ptCount val="2"/>
                <c:pt idx="0">
                  <c:v>219</c:v>
                </c:pt>
                <c:pt idx="1">
                  <c:v>250</c:v>
                </c:pt>
              </c:numCache>
            </c:numRef>
          </c:val>
          <c:extLst>
            <c:ext xmlns:c16="http://schemas.microsoft.com/office/drawing/2014/chart" uri="{C3380CC4-5D6E-409C-BE32-E72D297353CC}">
              <c16:uniqueId val="{00000004-D6C7-4051-90DA-719C226797F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
          <c:y val="0"/>
          <c:w val="0.78448492496257582"/>
          <c:h val="0.14011328962639019"/>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Emegerency Room Dashboard.xlsx]Pivot Table!PivotTable12</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61093198813492"/>
          <c:y val="9.1375990288112358E-2"/>
          <c:w val="0.64326052957747926"/>
          <c:h val="0.81724801942377534"/>
        </c:manualLayout>
      </c:layout>
      <c:barChart>
        <c:barDir val="bar"/>
        <c:grouping val="clustered"/>
        <c:varyColors val="0"/>
        <c:ser>
          <c:idx val="0"/>
          <c:order val="0"/>
          <c:tx>
            <c:strRef>
              <c:f>'Pivot Table'!$G$65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Table'!$F$66:$F$74</c:f>
              <c:strCache>
                <c:ptCount val="8"/>
                <c:pt idx="0">
                  <c:v>Renal</c:v>
                </c:pt>
                <c:pt idx="1">
                  <c:v>Neurology</c:v>
                </c:pt>
                <c:pt idx="2">
                  <c:v>Gastroenterology</c:v>
                </c:pt>
                <c:pt idx="3">
                  <c:v>Cardiology</c:v>
                </c:pt>
                <c:pt idx="4">
                  <c:v>Physiotherapy</c:v>
                </c:pt>
                <c:pt idx="5">
                  <c:v>Orthopedics</c:v>
                </c:pt>
                <c:pt idx="6">
                  <c:v>General Practice</c:v>
                </c:pt>
                <c:pt idx="7">
                  <c:v>None</c:v>
                </c:pt>
              </c:strCache>
            </c:strRef>
          </c:cat>
          <c:val>
            <c:numRef>
              <c:f>'Pivot Table'!$G$66:$G$74</c:f>
              <c:numCache>
                <c:formatCode>0</c:formatCode>
                <c:ptCount val="8"/>
                <c:pt idx="0">
                  <c:v>6</c:v>
                </c:pt>
                <c:pt idx="1">
                  <c:v>7</c:v>
                </c:pt>
                <c:pt idx="2">
                  <c:v>11</c:v>
                </c:pt>
                <c:pt idx="3">
                  <c:v>13</c:v>
                </c:pt>
                <c:pt idx="4">
                  <c:v>17</c:v>
                </c:pt>
                <c:pt idx="5">
                  <c:v>48</c:v>
                </c:pt>
                <c:pt idx="6">
                  <c:v>107</c:v>
                </c:pt>
                <c:pt idx="7">
                  <c:v>260</c:v>
                </c:pt>
              </c:numCache>
            </c:numRef>
          </c:val>
          <c:extLst>
            <c:ext xmlns:c16="http://schemas.microsoft.com/office/drawing/2014/chart" uri="{C3380CC4-5D6E-409C-BE32-E72D297353CC}">
              <c16:uniqueId val="{00000000-63B8-4B38-9681-25980A87FF2B}"/>
            </c:ext>
          </c:extLst>
        </c:ser>
        <c:dLbls>
          <c:showLegendKey val="0"/>
          <c:showVal val="0"/>
          <c:showCatName val="0"/>
          <c:showSerName val="0"/>
          <c:showPercent val="0"/>
          <c:showBubbleSize val="0"/>
        </c:dLbls>
        <c:gapWidth val="27"/>
        <c:axId val="1624181088"/>
        <c:axId val="1624187328"/>
      </c:barChart>
      <c:catAx>
        <c:axId val="1624181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24187328"/>
        <c:crosses val="autoZero"/>
        <c:auto val="1"/>
        <c:lblAlgn val="ctr"/>
        <c:lblOffset val="100"/>
        <c:noMultiLvlLbl val="0"/>
      </c:catAx>
      <c:valAx>
        <c:axId val="1624187328"/>
        <c:scaling>
          <c:orientation val="minMax"/>
        </c:scaling>
        <c:delete val="1"/>
        <c:axPos val="b"/>
        <c:numFmt formatCode="0" sourceLinked="1"/>
        <c:majorTickMark val="none"/>
        <c:minorTickMark val="none"/>
        <c:tickLblPos val="nextTo"/>
        <c:crossAx val="162418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Emegerency Room Dashboard.xlsx]Pivot Table!PivotTable6</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Table'!$N$10</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Table'!$M$11:$M$41</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Table'!$N$11:$N$41</c:f>
              <c:numCache>
                <c:formatCode>0.00</c:formatCode>
                <c:ptCount val="30"/>
                <c:pt idx="0">
                  <c:v>3.5</c:v>
                </c:pt>
                <c:pt idx="1">
                  <c:v>5.8</c:v>
                </c:pt>
                <c:pt idx="2">
                  <c:v>3.6</c:v>
                </c:pt>
                <c:pt idx="3">
                  <c:v>7.25</c:v>
                </c:pt>
                <c:pt idx="4">
                  <c:v>4</c:v>
                </c:pt>
                <c:pt idx="5">
                  <c:v>6.2</c:v>
                </c:pt>
                <c:pt idx="6">
                  <c:v>6.5</c:v>
                </c:pt>
                <c:pt idx="7">
                  <c:v>6</c:v>
                </c:pt>
                <c:pt idx="8">
                  <c:v>1.5</c:v>
                </c:pt>
                <c:pt idx="9">
                  <c:v>2.5</c:v>
                </c:pt>
                <c:pt idx="10">
                  <c:v>7.25</c:v>
                </c:pt>
                <c:pt idx="11">
                  <c:v>1.5</c:v>
                </c:pt>
                <c:pt idx="12">
                  <c:v>5</c:v>
                </c:pt>
                <c:pt idx="13">
                  <c:v>6.5</c:v>
                </c:pt>
                <c:pt idx="14">
                  <c:v>4.1111111111111107</c:v>
                </c:pt>
                <c:pt idx="15">
                  <c:v>6.6</c:v>
                </c:pt>
                <c:pt idx="16">
                  <c:v>5.2</c:v>
                </c:pt>
                <c:pt idx="17">
                  <c:v>5.5</c:v>
                </c:pt>
                <c:pt idx="18">
                  <c:v>3.3333333333333335</c:v>
                </c:pt>
                <c:pt idx="19">
                  <c:v>5</c:v>
                </c:pt>
                <c:pt idx="20">
                  <c:v>6.5</c:v>
                </c:pt>
                <c:pt idx="21">
                  <c:v>3</c:v>
                </c:pt>
                <c:pt idx="22">
                  <c:v>5.333333333333333</c:v>
                </c:pt>
                <c:pt idx="23">
                  <c:v>7.333333333333333</c:v>
                </c:pt>
                <c:pt idx="24">
                  <c:v>5.6</c:v>
                </c:pt>
                <c:pt idx="25">
                  <c:v>4.4000000000000004</c:v>
                </c:pt>
                <c:pt idx="26">
                  <c:v>4</c:v>
                </c:pt>
                <c:pt idx="27">
                  <c:v>3</c:v>
                </c:pt>
                <c:pt idx="28">
                  <c:v>5.666666666666667</c:v>
                </c:pt>
                <c:pt idx="29">
                  <c:v>5.8571428571428568</c:v>
                </c:pt>
              </c:numCache>
            </c:numRef>
          </c:val>
          <c:extLst>
            <c:ext xmlns:c16="http://schemas.microsoft.com/office/drawing/2014/chart" uri="{C3380CC4-5D6E-409C-BE32-E72D297353CC}">
              <c16:uniqueId val="{00000000-4398-4FD6-B3EB-9D85340708F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37838495"/>
        <c:axId val="1837841855"/>
      </c:areaChart>
      <c:catAx>
        <c:axId val="18378384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37841855"/>
        <c:crosses val="autoZero"/>
        <c:auto val="1"/>
        <c:lblAlgn val="ctr"/>
        <c:lblOffset val="100"/>
        <c:noMultiLvlLbl val="0"/>
      </c:catAx>
      <c:valAx>
        <c:axId val="1837841855"/>
        <c:scaling>
          <c:orientation val="minMax"/>
        </c:scaling>
        <c:delete val="1"/>
        <c:axPos val="l"/>
        <c:numFmt formatCode="0.00" sourceLinked="1"/>
        <c:majorTickMark val="out"/>
        <c:minorTickMark val="none"/>
        <c:tickLblPos val="nextTo"/>
        <c:crossAx val="183783849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Emegerency Room Dashboard.xlsx]Pivot Table!PivotTable1</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pivotFmt>
    </c:pivotFmts>
    <c:plotArea>
      <c:layout>
        <c:manualLayout>
          <c:layoutTarget val="inner"/>
          <c:xMode val="edge"/>
          <c:yMode val="edge"/>
          <c:x val="6.3498187633884526E-2"/>
          <c:y val="0.10009876695100613"/>
          <c:w val="0.89759479657333419"/>
          <c:h val="0.67166380016380012"/>
        </c:manualLayout>
      </c:layout>
      <c:areaChart>
        <c:grouping val="standard"/>
        <c:varyColors val="0"/>
        <c:ser>
          <c:idx val="0"/>
          <c:order val="0"/>
          <c:tx>
            <c:strRef>
              <c:f>'Pivot Table'!$F$11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Table'!$E$12:$E$42</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Table'!$F$12:$F$42</c:f>
              <c:numCache>
                <c:formatCode>General</c:formatCode>
                <c:ptCount val="30"/>
                <c:pt idx="0">
                  <c:v>12</c:v>
                </c:pt>
                <c:pt idx="1">
                  <c:v>18</c:v>
                </c:pt>
                <c:pt idx="2">
                  <c:v>17</c:v>
                </c:pt>
                <c:pt idx="3">
                  <c:v>15</c:v>
                </c:pt>
                <c:pt idx="4">
                  <c:v>13</c:v>
                </c:pt>
                <c:pt idx="5">
                  <c:v>11</c:v>
                </c:pt>
                <c:pt idx="6">
                  <c:v>14</c:v>
                </c:pt>
                <c:pt idx="7">
                  <c:v>17</c:v>
                </c:pt>
                <c:pt idx="8">
                  <c:v>15</c:v>
                </c:pt>
                <c:pt idx="9">
                  <c:v>16</c:v>
                </c:pt>
                <c:pt idx="10">
                  <c:v>9</c:v>
                </c:pt>
                <c:pt idx="11">
                  <c:v>10</c:v>
                </c:pt>
                <c:pt idx="12">
                  <c:v>12</c:v>
                </c:pt>
                <c:pt idx="13">
                  <c:v>13</c:v>
                </c:pt>
                <c:pt idx="14">
                  <c:v>26</c:v>
                </c:pt>
                <c:pt idx="15">
                  <c:v>22</c:v>
                </c:pt>
                <c:pt idx="16">
                  <c:v>16</c:v>
                </c:pt>
                <c:pt idx="17">
                  <c:v>12</c:v>
                </c:pt>
                <c:pt idx="18">
                  <c:v>21</c:v>
                </c:pt>
                <c:pt idx="19">
                  <c:v>12</c:v>
                </c:pt>
                <c:pt idx="20">
                  <c:v>15</c:v>
                </c:pt>
                <c:pt idx="21">
                  <c:v>23</c:v>
                </c:pt>
                <c:pt idx="22">
                  <c:v>15</c:v>
                </c:pt>
                <c:pt idx="23">
                  <c:v>15</c:v>
                </c:pt>
                <c:pt idx="24">
                  <c:v>14</c:v>
                </c:pt>
                <c:pt idx="25">
                  <c:v>19</c:v>
                </c:pt>
                <c:pt idx="26">
                  <c:v>17</c:v>
                </c:pt>
                <c:pt idx="27">
                  <c:v>16</c:v>
                </c:pt>
                <c:pt idx="28">
                  <c:v>15</c:v>
                </c:pt>
                <c:pt idx="29">
                  <c:v>19</c:v>
                </c:pt>
              </c:numCache>
            </c:numRef>
          </c:val>
          <c:extLst>
            <c:ext xmlns:c16="http://schemas.microsoft.com/office/drawing/2014/chart" uri="{C3380CC4-5D6E-409C-BE32-E72D297353CC}">
              <c16:uniqueId val="{00000000-A56E-4316-9520-DE8166209B6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75608928"/>
        <c:axId val="575605088"/>
      </c:areaChart>
      <c:catAx>
        <c:axId val="57560892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75605088"/>
        <c:crosses val="autoZero"/>
        <c:auto val="1"/>
        <c:lblAlgn val="ctr"/>
        <c:lblOffset val="100"/>
        <c:noMultiLvlLbl val="0"/>
      </c:catAx>
      <c:valAx>
        <c:axId val="575605088"/>
        <c:scaling>
          <c:orientation val="minMax"/>
        </c:scaling>
        <c:delete val="1"/>
        <c:axPos val="l"/>
        <c:numFmt formatCode="General" sourceLinked="1"/>
        <c:majorTickMark val="out"/>
        <c:minorTickMark val="none"/>
        <c:tickLblPos val="nextTo"/>
        <c:crossAx val="5756089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Emegerency Room Dashboard.xlsx]Pivot Table!PivotTable5</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986116981549981E-2"/>
          <c:y val="3.4310318236652451E-3"/>
          <c:w val="0.9592537681192187"/>
          <c:h val="0.85775403232256531"/>
        </c:manualLayout>
      </c:layout>
      <c:areaChart>
        <c:grouping val="standard"/>
        <c:varyColors val="0"/>
        <c:ser>
          <c:idx val="0"/>
          <c:order val="0"/>
          <c:tx>
            <c:strRef>
              <c:f>'Pivot Table'!$J$11</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Table'!$I$12:$I$42</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Table'!$J$12:$J$42</c:f>
              <c:numCache>
                <c:formatCode>0.00</c:formatCode>
                <c:ptCount val="30"/>
                <c:pt idx="0">
                  <c:v>29.833333333333332</c:v>
                </c:pt>
                <c:pt idx="1">
                  <c:v>34.777777777777779</c:v>
                </c:pt>
                <c:pt idx="2">
                  <c:v>35</c:v>
                </c:pt>
                <c:pt idx="3">
                  <c:v>34.06666666666667</c:v>
                </c:pt>
                <c:pt idx="4">
                  <c:v>34.846153846153847</c:v>
                </c:pt>
                <c:pt idx="5">
                  <c:v>36.81818181818182</c:v>
                </c:pt>
                <c:pt idx="6">
                  <c:v>34.5</c:v>
                </c:pt>
                <c:pt idx="7">
                  <c:v>32.882352941176471</c:v>
                </c:pt>
                <c:pt idx="8">
                  <c:v>43.466666666666669</c:v>
                </c:pt>
                <c:pt idx="9">
                  <c:v>28.375</c:v>
                </c:pt>
                <c:pt idx="10">
                  <c:v>34.777777777777779</c:v>
                </c:pt>
                <c:pt idx="11">
                  <c:v>35.200000000000003</c:v>
                </c:pt>
                <c:pt idx="12">
                  <c:v>32</c:v>
                </c:pt>
                <c:pt idx="13">
                  <c:v>37.615384615384613</c:v>
                </c:pt>
                <c:pt idx="14">
                  <c:v>37.384615384615387</c:v>
                </c:pt>
                <c:pt idx="15">
                  <c:v>33.954545454545453</c:v>
                </c:pt>
                <c:pt idx="16">
                  <c:v>32.5</c:v>
                </c:pt>
                <c:pt idx="17">
                  <c:v>37.25</c:v>
                </c:pt>
                <c:pt idx="18">
                  <c:v>34.047619047619051</c:v>
                </c:pt>
                <c:pt idx="19">
                  <c:v>34.583333333333336</c:v>
                </c:pt>
                <c:pt idx="20">
                  <c:v>31</c:v>
                </c:pt>
                <c:pt idx="21">
                  <c:v>33.347826086956523</c:v>
                </c:pt>
                <c:pt idx="22">
                  <c:v>33.799999999999997</c:v>
                </c:pt>
                <c:pt idx="23">
                  <c:v>32.466666666666669</c:v>
                </c:pt>
                <c:pt idx="24">
                  <c:v>36.642857142857146</c:v>
                </c:pt>
                <c:pt idx="25">
                  <c:v>32.631578947368418</c:v>
                </c:pt>
                <c:pt idx="26">
                  <c:v>32.176470588235297</c:v>
                </c:pt>
                <c:pt idx="27">
                  <c:v>33.5</c:v>
                </c:pt>
                <c:pt idx="28">
                  <c:v>33.200000000000003</c:v>
                </c:pt>
                <c:pt idx="29">
                  <c:v>35.89473684210526</c:v>
                </c:pt>
              </c:numCache>
            </c:numRef>
          </c:val>
          <c:extLst>
            <c:ext xmlns:c16="http://schemas.microsoft.com/office/drawing/2014/chart" uri="{C3380CC4-5D6E-409C-BE32-E72D297353CC}">
              <c16:uniqueId val="{00000000-D2C3-42F1-9D11-D03899EF744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673259808"/>
        <c:axId val="673257408"/>
      </c:areaChart>
      <c:catAx>
        <c:axId val="673259808"/>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73257408"/>
        <c:crosses val="autoZero"/>
        <c:auto val="1"/>
        <c:lblAlgn val="ctr"/>
        <c:lblOffset val="100"/>
        <c:noMultiLvlLbl val="0"/>
      </c:catAx>
      <c:valAx>
        <c:axId val="673257408"/>
        <c:scaling>
          <c:orientation val="minMax"/>
        </c:scaling>
        <c:delete val="1"/>
        <c:axPos val="l"/>
        <c:numFmt formatCode="0.00" sourceLinked="1"/>
        <c:majorTickMark val="out"/>
        <c:minorTickMark val="none"/>
        <c:tickLblPos val="nextTo"/>
        <c:crossAx val="6732598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s'!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707081</xdr:colOff>
      <xdr:row>49</xdr:row>
      <xdr:rowOff>34325</xdr:rowOff>
    </xdr:from>
    <xdr:to>
      <xdr:col>4</xdr:col>
      <xdr:colOff>59933</xdr:colOff>
      <xdr:row>52</xdr:row>
      <xdr:rowOff>146243</xdr:rowOff>
    </xdr:to>
    <xdr:graphicFrame macro="">
      <xdr:nvGraphicFramePr>
        <xdr:cNvPr id="4" name="Chart 3">
          <a:extLst>
            <a:ext uri="{FF2B5EF4-FFF2-40B4-BE49-F238E27FC236}">
              <a16:creationId xmlns:a16="http://schemas.microsoft.com/office/drawing/2014/main" id="{202A1FCB-F11D-64A4-42F2-409D394B46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30831</xdr:colOff>
      <xdr:row>0</xdr:row>
      <xdr:rowOff>35238</xdr:rowOff>
    </xdr:from>
    <xdr:to>
      <xdr:col>5</xdr:col>
      <xdr:colOff>66067</xdr:colOff>
      <xdr:row>2</xdr:row>
      <xdr:rowOff>167378</xdr:rowOff>
    </xdr:to>
    <xdr:sp macro="" textlink="">
      <xdr:nvSpPr>
        <xdr:cNvPr id="2" name="Rectangle: Rounded Corners 1">
          <a:extLst>
            <a:ext uri="{FF2B5EF4-FFF2-40B4-BE49-F238E27FC236}">
              <a16:creationId xmlns:a16="http://schemas.microsoft.com/office/drawing/2014/main" id="{DCF2BD79-3B49-63E7-9C34-6858BDF84E91}"/>
            </a:ext>
          </a:extLst>
        </xdr:cNvPr>
        <xdr:cNvSpPr/>
      </xdr:nvSpPr>
      <xdr:spPr>
        <a:xfrm>
          <a:off x="30831" y="35238"/>
          <a:ext cx="3074427" cy="502128"/>
        </a:xfrm>
        <a:prstGeom prst="roundRect">
          <a:avLst>
            <a:gd name="adj" fmla="val 7018"/>
          </a:avLst>
        </a:prstGeom>
        <a:solidFill>
          <a:schemeClr val="bg2"/>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5</xdr:col>
      <xdr:colOff>96900</xdr:colOff>
      <xdr:row>0</xdr:row>
      <xdr:rowOff>35236</xdr:rowOff>
    </xdr:from>
    <xdr:to>
      <xdr:col>7</xdr:col>
      <xdr:colOff>158567</xdr:colOff>
      <xdr:row>2</xdr:row>
      <xdr:rowOff>167376</xdr:rowOff>
    </xdr:to>
    <xdr:sp macro="" textlink="">
      <xdr:nvSpPr>
        <xdr:cNvPr id="3" name="Rectangle: Rounded Corners 2">
          <a:extLst>
            <a:ext uri="{FF2B5EF4-FFF2-40B4-BE49-F238E27FC236}">
              <a16:creationId xmlns:a16="http://schemas.microsoft.com/office/drawing/2014/main" id="{97203F77-BEDD-4DC4-B153-D127F380AA5D}"/>
            </a:ext>
          </a:extLst>
        </xdr:cNvPr>
        <xdr:cNvSpPr/>
      </xdr:nvSpPr>
      <xdr:spPr>
        <a:xfrm>
          <a:off x="3136091" y="35236"/>
          <a:ext cx="1277343" cy="502128"/>
        </a:xfrm>
        <a:prstGeom prst="roundRect">
          <a:avLst>
            <a:gd name="adj" fmla="val 9650"/>
          </a:avLst>
        </a:prstGeom>
        <a:solidFill>
          <a:schemeClr val="bg2"/>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0</xdr:col>
      <xdr:colOff>35238</xdr:colOff>
      <xdr:row>3</xdr:row>
      <xdr:rowOff>13214</xdr:rowOff>
    </xdr:from>
    <xdr:to>
      <xdr:col>1</xdr:col>
      <xdr:colOff>158568</xdr:colOff>
      <xdr:row>15</xdr:row>
      <xdr:rowOff>73742</xdr:rowOff>
    </xdr:to>
    <xdr:sp macro="" textlink="">
      <xdr:nvSpPr>
        <xdr:cNvPr id="5" name="Rectangle: Rounded Corners 4">
          <a:extLst>
            <a:ext uri="{FF2B5EF4-FFF2-40B4-BE49-F238E27FC236}">
              <a16:creationId xmlns:a16="http://schemas.microsoft.com/office/drawing/2014/main" id="{806966B4-E840-41E5-8715-19F34711614A}"/>
            </a:ext>
          </a:extLst>
        </xdr:cNvPr>
        <xdr:cNvSpPr/>
      </xdr:nvSpPr>
      <xdr:spPr>
        <a:xfrm>
          <a:off x="35238" y="566279"/>
          <a:ext cx="733749" cy="2272786"/>
        </a:xfrm>
        <a:prstGeom prst="roundRect">
          <a:avLst>
            <a:gd name="adj" fmla="val 7028"/>
          </a:avLst>
        </a:prstGeom>
        <a:solidFill>
          <a:schemeClr val="bg2"/>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xdr:from>
      <xdr:col>0</xdr:col>
      <xdr:colOff>8810</xdr:colOff>
      <xdr:row>15</xdr:row>
      <xdr:rowOff>77744</xdr:rowOff>
    </xdr:from>
    <xdr:to>
      <xdr:col>12</xdr:col>
      <xdr:colOff>563792</xdr:colOff>
      <xdr:row>15</xdr:row>
      <xdr:rowOff>95362</xdr:rowOff>
    </xdr:to>
    <xdr:cxnSp macro="">
      <xdr:nvCxnSpPr>
        <xdr:cNvPr id="7" name="Straight Connector 6">
          <a:extLst>
            <a:ext uri="{FF2B5EF4-FFF2-40B4-BE49-F238E27FC236}">
              <a16:creationId xmlns:a16="http://schemas.microsoft.com/office/drawing/2014/main" id="{4CDAED1A-BE90-8DA6-1C59-F2538F6DF686}"/>
            </a:ext>
          </a:extLst>
        </xdr:cNvPr>
        <xdr:cNvCxnSpPr/>
      </xdr:nvCxnSpPr>
      <xdr:spPr>
        <a:xfrm flipV="1">
          <a:off x="8810" y="2843067"/>
          <a:ext cx="7880014" cy="17618"/>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absolute">
    <xdr:from>
      <xdr:col>3</xdr:col>
      <xdr:colOff>136544</xdr:colOff>
      <xdr:row>3</xdr:row>
      <xdr:rowOff>13213</xdr:rowOff>
    </xdr:from>
    <xdr:to>
      <xdr:col>5</xdr:col>
      <xdr:colOff>92497</xdr:colOff>
      <xdr:row>6</xdr:row>
      <xdr:rowOff>83688</xdr:rowOff>
    </xdr:to>
    <xdr:sp macro="" textlink="">
      <xdr:nvSpPr>
        <xdr:cNvPr id="8" name="Rectangle: Rounded Corners 7">
          <a:extLst>
            <a:ext uri="{FF2B5EF4-FFF2-40B4-BE49-F238E27FC236}">
              <a16:creationId xmlns:a16="http://schemas.microsoft.com/office/drawing/2014/main" id="{54C8D860-B1E8-4690-95C0-33922CF53C9A}"/>
            </a:ext>
          </a:extLst>
        </xdr:cNvPr>
        <xdr:cNvSpPr/>
      </xdr:nvSpPr>
      <xdr:spPr>
        <a:xfrm>
          <a:off x="1960058" y="568196"/>
          <a:ext cx="1171630" cy="625457"/>
        </a:xfrm>
        <a:prstGeom prst="roundRect">
          <a:avLst>
            <a:gd name="adj" fmla="val 6267"/>
          </a:avLst>
        </a:prstGeom>
        <a:solidFill>
          <a:schemeClr val="bg2"/>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1</xdr:col>
      <xdr:colOff>189399</xdr:colOff>
      <xdr:row>3</xdr:row>
      <xdr:rowOff>22023</xdr:rowOff>
    </xdr:from>
    <xdr:to>
      <xdr:col>3</xdr:col>
      <xdr:colOff>118925</xdr:colOff>
      <xdr:row>6</xdr:row>
      <xdr:rowOff>88093</xdr:rowOff>
    </xdr:to>
    <xdr:sp macro="" textlink="">
      <xdr:nvSpPr>
        <xdr:cNvPr id="9" name="Rectangle: Rounded Corners 8">
          <a:extLst>
            <a:ext uri="{FF2B5EF4-FFF2-40B4-BE49-F238E27FC236}">
              <a16:creationId xmlns:a16="http://schemas.microsoft.com/office/drawing/2014/main" id="{F557478F-9A67-4666-8862-F66B2B1E14FE}"/>
            </a:ext>
          </a:extLst>
        </xdr:cNvPr>
        <xdr:cNvSpPr/>
      </xdr:nvSpPr>
      <xdr:spPr>
        <a:xfrm>
          <a:off x="797237" y="577006"/>
          <a:ext cx="1145202" cy="621052"/>
        </a:xfrm>
        <a:prstGeom prst="roundRect">
          <a:avLst>
            <a:gd name="adj" fmla="val 6267"/>
          </a:avLst>
        </a:prstGeom>
        <a:solidFill>
          <a:schemeClr val="bg2"/>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5</xdr:col>
      <xdr:colOff>118925</xdr:colOff>
      <xdr:row>3</xdr:row>
      <xdr:rowOff>22022</xdr:rowOff>
    </xdr:from>
    <xdr:to>
      <xdr:col>7</xdr:col>
      <xdr:colOff>158567</xdr:colOff>
      <xdr:row>6</xdr:row>
      <xdr:rowOff>92497</xdr:rowOff>
    </xdr:to>
    <xdr:sp macro="" textlink="">
      <xdr:nvSpPr>
        <xdr:cNvPr id="10" name="Rectangle: Rounded Corners 9">
          <a:extLst>
            <a:ext uri="{FF2B5EF4-FFF2-40B4-BE49-F238E27FC236}">
              <a16:creationId xmlns:a16="http://schemas.microsoft.com/office/drawing/2014/main" id="{55F24B0A-2224-4BC9-882A-7B6F0EE528E3}"/>
            </a:ext>
          </a:extLst>
        </xdr:cNvPr>
        <xdr:cNvSpPr/>
      </xdr:nvSpPr>
      <xdr:spPr>
        <a:xfrm>
          <a:off x="3158116" y="577005"/>
          <a:ext cx="1255318" cy="625457"/>
        </a:xfrm>
        <a:prstGeom prst="roundRect">
          <a:avLst>
            <a:gd name="adj" fmla="val 6267"/>
          </a:avLst>
        </a:prstGeom>
        <a:solidFill>
          <a:schemeClr val="bg2"/>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1</xdr:col>
      <xdr:colOff>181206</xdr:colOff>
      <xdr:row>9</xdr:row>
      <xdr:rowOff>74571</xdr:rowOff>
    </xdr:from>
    <xdr:to>
      <xdr:col>7</xdr:col>
      <xdr:colOff>159183</xdr:colOff>
      <xdr:row>15</xdr:row>
      <xdr:rowOff>56953</xdr:rowOff>
    </xdr:to>
    <xdr:sp macro="" textlink="">
      <xdr:nvSpPr>
        <xdr:cNvPr id="11" name="Rectangle: Rounded Corners 10">
          <a:extLst>
            <a:ext uri="{FF2B5EF4-FFF2-40B4-BE49-F238E27FC236}">
              <a16:creationId xmlns:a16="http://schemas.microsoft.com/office/drawing/2014/main" id="{CE2A5F3B-E515-436C-8913-23FC42F39FFC}"/>
            </a:ext>
          </a:extLst>
        </xdr:cNvPr>
        <xdr:cNvSpPr/>
      </xdr:nvSpPr>
      <xdr:spPr>
        <a:xfrm>
          <a:off x="791625" y="1733765"/>
          <a:ext cx="3640493" cy="1088511"/>
        </a:xfrm>
        <a:prstGeom prst="roundRect">
          <a:avLst>
            <a:gd name="adj" fmla="val 6267"/>
          </a:avLst>
        </a:prstGeom>
        <a:solidFill>
          <a:schemeClr val="bg2"/>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7</xdr:col>
      <xdr:colOff>196658</xdr:colOff>
      <xdr:row>0</xdr:row>
      <xdr:rowOff>26944</xdr:rowOff>
    </xdr:from>
    <xdr:to>
      <xdr:col>9</xdr:col>
      <xdr:colOff>478554</xdr:colOff>
      <xdr:row>6</xdr:row>
      <xdr:rowOff>115037</xdr:rowOff>
    </xdr:to>
    <xdr:sp macro="" textlink="">
      <xdr:nvSpPr>
        <xdr:cNvPr id="13" name="Rectangle: Rounded Corners 12">
          <a:extLst>
            <a:ext uri="{FF2B5EF4-FFF2-40B4-BE49-F238E27FC236}">
              <a16:creationId xmlns:a16="http://schemas.microsoft.com/office/drawing/2014/main" id="{D7AF24A8-C216-420F-B203-CD0578230F9F}"/>
            </a:ext>
          </a:extLst>
        </xdr:cNvPr>
        <xdr:cNvSpPr/>
      </xdr:nvSpPr>
      <xdr:spPr>
        <a:xfrm>
          <a:off x="4469301" y="26944"/>
          <a:ext cx="1502651" cy="1184440"/>
        </a:xfrm>
        <a:prstGeom prst="roundRect">
          <a:avLst>
            <a:gd name="adj" fmla="val 6267"/>
          </a:avLst>
        </a:prstGeom>
        <a:solidFill>
          <a:schemeClr val="bg2"/>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r>
            <a:rPr lang="en-IN" sz="1100"/>
            <a:t> </a:t>
          </a:r>
        </a:p>
      </xdr:txBody>
    </xdr:sp>
    <xdr:clientData/>
  </xdr:twoCellAnchor>
  <xdr:twoCellAnchor editAs="absolute">
    <xdr:from>
      <xdr:col>7</xdr:col>
      <xdr:colOff>193804</xdr:colOff>
      <xdr:row>6</xdr:row>
      <xdr:rowOff>155676</xdr:rowOff>
    </xdr:from>
    <xdr:to>
      <xdr:col>12</xdr:col>
      <xdr:colOff>207019</xdr:colOff>
      <xdr:row>15</xdr:row>
      <xdr:rowOff>57353</xdr:rowOff>
    </xdr:to>
    <xdr:sp macro="" textlink="">
      <xdr:nvSpPr>
        <xdr:cNvPr id="15" name="Rectangle: Rounded Corners 14">
          <a:extLst>
            <a:ext uri="{FF2B5EF4-FFF2-40B4-BE49-F238E27FC236}">
              <a16:creationId xmlns:a16="http://schemas.microsoft.com/office/drawing/2014/main" id="{44198A28-8F6B-4323-B7D2-9FCF03982694}"/>
            </a:ext>
          </a:extLst>
        </xdr:cNvPr>
        <xdr:cNvSpPr/>
      </xdr:nvSpPr>
      <xdr:spPr>
        <a:xfrm>
          <a:off x="4466739" y="1261805"/>
          <a:ext cx="3065312" cy="1560871"/>
        </a:xfrm>
        <a:prstGeom prst="roundRect">
          <a:avLst>
            <a:gd name="adj" fmla="val 1475"/>
          </a:avLst>
        </a:prstGeom>
        <a:solidFill>
          <a:schemeClr val="bg2"/>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1</xdr:col>
      <xdr:colOff>220231</xdr:colOff>
      <xdr:row>0</xdr:row>
      <xdr:rowOff>92497</xdr:rowOff>
    </xdr:from>
    <xdr:to>
      <xdr:col>4</xdr:col>
      <xdr:colOff>599028</xdr:colOff>
      <xdr:row>2</xdr:row>
      <xdr:rowOff>35238</xdr:rowOff>
    </xdr:to>
    <xdr:sp macro="" textlink="">
      <xdr:nvSpPr>
        <xdr:cNvPr id="6" name="TextBox 5">
          <a:extLst>
            <a:ext uri="{FF2B5EF4-FFF2-40B4-BE49-F238E27FC236}">
              <a16:creationId xmlns:a16="http://schemas.microsoft.com/office/drawing/2014/main" id="{F2A876ED-3800-6F0D-6BBF-5056E3A987A2}"/>
            </a:ext>
          </a:extLst>
        </xdr:cNvPr>
        <xdr:cNvSpPr txBox="1"/>
      </xdr:nvSpPr>
      <xdr:spPr>
        <a:xfrm>
          <a:off x="828069" y="92497"/>
          <a:ext cx="2202312" cy="312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b="1">
              <a:solidFill>
                <a:schemeClr val="dk1"/>
              </a:solidFill>
            </a:rPr>
            <a:t>Hospital</a:t>
          </a:r>
          <a:r>
            <a:rPr lang="en-IN" sz="1100" b="1"/>
            <a:t> Emergency Room Dashboard</a:t>
          </a:r>
        </a:p>
      </xdr:txBody>
    </xdr:sp>
    <xdr:clientData/>
  </xdr:twoCellAnchor>
  <xdr:twoCellAnchor editAs="absolute">
    <xdr:from>
      <xdr:col>1</xdr:col>
      <xdr:colOff>158567</xdr:colOff>
      <xdr:row>1</xdr:row>
      <xdr:rowOff>96902</xdr:rowOff>
    </xdr:from>
    <xdr:to>
      <xdr:col>4</xdr:col>
      <xdr:colOff>449271</xdr:colOff>
      <xdr:row>2</xdr:row>
      <xdr:rowOff>123330</xdr:rowOff>
    </xdr:to>
    <xdr:sp macro="" textlink="">
      <xdr:nvSpPr>
        <xdr:cNvPr id="16" name="TextBox 15">
          <a:extLst>
            <a:ext uri="{FF2B5EF4-FFF2-40B4-BE49-F238E27FC236}">
              <a16:creationId xmlns:a16="http://schemas.microsoft.com/office/drawing/2014/main" id="{39A8DD71-5381-81DF-879B-7123ED1FC487}"/>
            </a:ext>
          </a:extLst>
        </xdr:cNvPr>
        <xdr:cNvSpPr txBox="1"/>
      </xdr:nvSpPr>
      <xdr:spPr>
        <a:xfrm>
          <a:off x="766405" y="281896"/>
          <a:ext cx="2114219" cy="211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Monthly Report</a:t>
          </a:r>
        </a:p>
      </xdr:txBody>
    </xdr:sp>
    <xdr:clientData/>
  </xdr:twoCellAnchor>
  <xdr:twoCellAnchor editAs="oneCell">
    <xdr:from>
      <xdr:col>0</xdr:col>
      <xdr:colOff>39642</xdr:colOff>
      <xdr:row>0</xdr:row>
      <xdr:rowOff>52855</xdr:rowOff>
    </xdr:from>
    <xdr:to>
      <xdr:col>1</xdr:col>
      <xdr:colOff>79560</xdr:colOff>
      <xdr:row>2</xdr:row>
      <xdr:rowOff>170589</xdr:rowOff>
    </xdr:to>
    <xdr:pic>
      <xdr:nvPicPr>
        <xdr:cNvPr id="18" name="Picture 17">
          <a:extLst>
            <a:ext uri="{FF2B5EF4-FFF2-40B4-BE49-F238E27FC236}">
              <a16:creationId xmlns:a16="http://schemas.microsoft.com/office/drawing/2014/main" id="{2BF0DC79-DFAD-E3DA-3062-C708D2167644}"/>
            </a:ext>
          </a:extLst>
        </xdr:cNvPr>
        <xdr:cNvPicPr>
          <a:picLocks noChangeAspect="1"/>
        </xdr:cNvPicPr>
      </xdr:nvPicPr>
      <xdr:blipFill>
        <a:blip xmlns:r="http://schemas.openxmlformats.org/officeDocument/2006/relationships" r:embed="rId1"/>
        <a:stretch>
          <a:fillRect/>
        </a:stretch>
      </xdr:blipFill>
      <xdr:spPr>
        <a:xfrm>
          <a:off x="39642" y="52855"/>
          <a:ext cx="647756" cy="487722"/>
        </a:xfrm>
        <a:prstGeom prst="rect">
          <a:avLst/>
        </a:prstGeom>
      </xdr:spPr>
    </xdr:pic>
    <xdr:clientData/>
  </xdr:twoCellAnchor>
  <xdr:twoCellAnchor editAs="oneCell">
    <xdr:from>
      <xdr:col>2</xdr:col>
      <xdr:colOff>471297</xdr:colOff>
      <xdr:row>3</xdr:row>
      <xdr:rowOff>30834</xdr:rowOff>
    </xdr:from>
    <xdr:to>
      <xdr:col>3</xdr:col>
      <xdr:colOff>61667</xdr:colOff>
      <xdr:row>4</xdr:row>
      <xdr:rowOff>44048</xdr:rowOff>
    </xdr:to>
    <xdr:pic>
      <xdr:nvPicPr>
        <xdr:cNvPr id="20" name="Graphic 19" descr="Male profile with solid fill">
          <a:extLst>
            <a:ext uri="{FF2B5EF4-FFF2-40B4-BE49-F238E27FC236}">
              <a16:creationId xmlns:a16="http://schemas.microsoft.com/office/drawing/2014/main" id="{8B12F314-0EAC-8AF2-6E7C-A3C4F5CADBD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86973" y="585817"/>
          <a:ext cx="198208" cy="198208"/>
        </a:xfrm>
        <a:prstGeom prst="rect">
          <a:avLst/>
        </a:prstGeom>
      </xdr:spPr>
    </xdr:pic>
    <xdr:clientData/>
  </xdr:twoCellAnchor>
  <xdr:twoCellAnchor editAs="oneCell">
    <xdr:from>
      <xdr:col>6</xdr:col>
      <xdr:colOff>493317</xdr:colOff>
      <xdr:row>3</xdr:row>
      <xdr:rowOff>39644</xdr:rowOff>
    </xdr:from>
    <xdr:to>
      <xdr:col>7</xdr:col>
      <xdr:colOff>79284</xdr:colOff>
      <xdr:row>4</xdr:row>
      <xdr:rowOff>48455</xdr:rowOff>
    </xdr:to>
    <xdr:pic>
      <xdr:nvPicPr>
        <xdr:cNvPr id="22" name="Graphic 21" descr="Customer review with solid fill">
          <a:extLst>
            <a:ext uri="{FF2B5EF4-FFF2-40B4-BE49-F238E27FC236}">
              <a16:creationId xmlns:a16="http://schemas.microsoft.com/office/drawing/2014/main" id="{E342EC7D-B250-0815-70AD-9509AA885A9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140346" y="594627"/>
          <a:ext cx="193805" cy="193805"/>
        </a:xfrm>
        <a:prstGeom prst="rect">
          <a:avLst/>
        </a:prstGeom>
      </xdr:spPr>
    </xdr:pic>
    <xdr:clientData/>
  </xdr:twoCellAnchor>
  <xdr:twoCellAnchor editAs="absolute">
    <xdr:from>
      <xdr:col>3</xdr:col>
      <xdr:colOff>140947</xdr:colOff>
      <xdr:row>4</xdr:row>
      <xdr:rowOff>8809</xdr:rowOff>
    </xdr:from>
    <xdr:to>
      <xdr:col>5</xdr:col>
      <xdr:colOff>83688</xdr:colOff>
      <xdr:row>5</xdr:row>
      <xdr:rowOff>70474</xdr:rowOff>
    </xdr:to>
    <xdr:sp macro="" textlink="">
      <xdr:nvSpPr>
        <xdr:cNvPr id="30" name="TextBox 29">
          <a:extLst>
            <a:ext uri="{FF2B5EF4-FFF2-40B4-BE49-F238E27FC236}">
              <a16:creationId xmlns:a16="http://schemas.microsoft.com/office/drawing/2014/main" id="{5063DFA6-42EB-6052-3F95-CEF8EA799DD0}"/>
            </a:ext>
          </a:extLst>
        </xdr:cNvPr>
        <xdr:cNvSpPr txBox="1"/>
      </xdr:nvSpPr>
      <xdr:spPr>
        <a:xfrm>
          <a:off x="1964461" y="748786"/>
          <a:ext cx="1158418" cy="2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a:t>   Average Wait Time</a:t>
          </a:r>
        </a:p>
      </xdr:txBody>
    </xdr:sp>
    <xdr:clientData/>
  </xdr:twoCellAnchor>
  <xdr:twoCellAnchor editAs="absolute">
    <xdr:from>
      <xdr:col>1</xdr:col>
      <xdr:colOff>198208</xdr:colOff>
      <xdr:row>3</xdr:row>
      <xdr:rowOff>174423</xdr:rowOff>
    </xdr:from>
    <xdr:to>
      <xdr:col>3</xdr:col>
      <xdr:colOff>110115</xdr:colOff>
      <xdr:row>5</xdr:row>
      <xdr:rowOff>51094</xdr:rowOff>
    </xdr:to>
    <xdr:sp macro="" textlink="">
      <xdr:nvSpPr>
        <xdr:cNvPr id="32" name="TextBox 31">
          <a:extLst>
            <a:ext uri="{FF2B5EF4-FFF2-40B4-BE49-F238E27FC236}">
              <a16:creationId xmlns:a16="http://schemas.microsoft.com/office/drawing/2014/main" id="{4800721D-3E6C-40DA-B6FD-5134CCC2CCC3}"/>
            </a:ext>
          </a:extLst>
        </xdr:cNvPr>
        <xdr:cNvSpPr txBox="1"/>
      </xdr:nvSpPr>
      <xdr:spPr>
        <a:xfrm>
          <a:off x="806046" y="729406"/>
          <a:ext cx="1127583" cy="2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50"/>
            <a:t>No</a:t>
          </a:r>
          <a:r>
            <a:rPr lang="en-IN" sz="1050" baseline="0"/>
            <a:t>. of </a:t>
          </a:r>
          <a:r>
            <a:rPr lang="en-IN" sz="900" baseline="0"/>
            <a:t>Patient</a:t>
          </a:r>
          <a:endParaRPr lang="en-IN" sz="1050"/>
        </a:p>
      </xdr:txBody>
    </xdr:sp>
    <xdr:clientData/>
  </xdr:twoCellAnchor>
  <xdr:twoCellAnchor editAs="absolute">
    <xdr:from>
      <xdr:col>5</xdr:col>
      <xdr:colOff>123329</xdr:colOff>
      <xdr:row>4</xdr:row>
      <xdr:rowOff>26428</xdr:rowOff>
    </xdr:from>
    <xdr:to>
      <xdr:col>7</xdr:col>
      <xdr:colOff>154162</xdr:colOff>
      <xdr:row>5</xdr:row>
      <xdr:rowOff>88093</xdr:rowOff>
    </xdr:to>
    <xdr:sp macro="" textlink="">
      <xdr:nvSpPr>
        <xdr:cNvPr id="33" name="TextBox 32">
          <a:extLst>
            <a:ext uri="{FF2B5EF4-FFF2-40B4-BE49-F238E27FC236}">
              <a16:creationId xmlns:a16="http://schemas.microsoft.com/office/drawing/2014/main" id="{38205806-DCDD-9787-049A-AF2A0EAE8BF3}"/>
            </a:ext>
          </a:extLst>
        </xdr:cNvPr>
        <xdr:cNvSpPr txBox="1"/>
      </xdr:nvSpPr>
      <xdr:spPr>
        <a:xfrm>
          <a:off x="3162520" y="766405"/>
          <a:ext cx="1246509" cy="2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a:t> Patient Satisfacation</a:t>
          </a:r>
          <a:r>
            <a:rPr lang="en-IN" sz="900" baseline="0"/>
            <a:t> </a:t>
          </a:r>
          <a:r>
            <a:rPr lang="en-IN" sz="900"/>
            <a:t>score </a:t>
          </a:r>
        </a:p>
      </xdr:txBody>
    </xdr:sp>
    <xdr:clientData/>
  </xdr:twoCellAnchor>
  <xdr:twoCellAnchor editAs="absolute">
    <xdr:from>
      <xdr:col>1</xdr:col>
      <xdr:colOff>193803</xdr:colOff>
      <xdr:row>3</xdr:row>
      <xdr:rowOff>29071</xdr:rowOff>
    </xdr:from>
    <xdr:to>
      <xdr:col>3</xdr:col>
      <xdr:colOff>105711</xdr:colOff>
      <xdr:row>4</xdr:row>
      <xdr:rowOff>90736</xdr:rowOff>
    </xdr:to>
    <xdr:sp macro="" textlink="'Pivot Table'!A11">
      <xdr:nvSpPr>
        <xdr:cNvPr id="34" name="TextBox 33">
          <a:extLst>
            <a:ext uri="{FF2B5EF4-FFF2-40B4-BE49-F238E27FC236}">
              <a16:creationId xmlns:a16="http://schemas.microsoft.com/office/drawing/2014/main" id="{74406E52-AF82-45F1-1ED9-56040B469A6A}"/>
            </a:ext>
          </a:extLst>
        </xdr:cNvPr>
        <xdr:cNvSpPr txBox="1"/>
      </xdr:nvSpPr>
      <xdr:spPr>
        <a:xfrm>
          <a:off x="801641" y="584054"/>
          <a:ext cx="1127584" cy="2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E343CB7-52A9-49AA-AF94-2D0BDC6CA1CC}" type="TxLink">
            <a:rPr lang="en-US" sz="1100" b="0" i="0" u="none" strike="noStrike">
              <a:solidFill>
                <a:srgbClr val="000000"/>
              </a:solidFill>
              <a:latin typeface="Aptos Narrow"/>
            </a:rPr>
            <a:pPr algn="ctr"/>
            <a:t>469</a:t>
          </a:fld>
          <a:endParaRPr lang="en-US" sz="1100"/>
        </a:p>
      </xdr:txBody>
    </xdr:sp>
    <xdr:clientData/>
  </xdr:twoCellAnchor>
  <xdr:twoCellAnchor editAs="absolute">
    <xdr:from>
      <xdr:col>3</xdr:col>
      <xdr:colOff>88094</xdr:colOff>
      <xdr:row>3</xdr:row>
      <xdr:rowOff>26427</xdr:rowOff>
    </xdr:from>
    <xdr:to>
      <xdr:col>5</xdr:col>
      <xdr:colOff>17619</xdr:colOff>
      <xdr:row>4</xdr:row>
      <xdr:rowOff>88092</xdr:rowOff>
    </xdr:to>
    <xdr:sp macro="" textlink="'Pivot Table'!A15">
      <xdr:nvSpPr>
        <xdr:cNvPr id="35" name="TextBox 34">
          <a:extLst>
            <a:ext uri="{FF2B5EF4-FFF2-40B4-BE49-F238E27FC236}">
              <a16:creationId xmlns:a16="http://schemas.microsoft.com/office/drawing/2014/main" id="{81C7B93B-2E29-4232-5DE0-C53B42901FBF}"/>
            </a:ext>
          </a:extLst>
        </xdr:cNvPr>
        <xdr:cNvSpPr txBox="1"/>
      </xdr:nvSpPr>
      <xdr:spPr>
        <a:xfrm>
          <a:off x="1911608" y="581410"/>
          <a:ext cx="1145202" cy="246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974C778-EDC9-426E-A6AA-CE7FEF956131}" type="TxLink">
            <a:rPr lang="en-US" sz="1100" b="0" i="0" u="none" strike="noStrike">
              <a:solidFill>
                <a:srgbClr val="000000"/>
              </a:solidFill>
              <a:latin typeface="Aptos Narrow"/>
            </a:rPr>
            <a:pPr algn="ctr"/>
            <a:t>4.98</a:t>
          </a:fld>
          <a:endParaRPr lang="en-IN" sz="1100"/>
        </a:p>
      </xdr:txBody>
    </xdr:sp>
    <xdr:clientData/>
  </xdr:twoCellAnchor>
  <xdr:twoCellAnchor editAs="absolute">
    <xdr:from>
      <xdr:col>5</xdr:col>
      <xdr:colOff>123330</xdr:colOff>
      <xdr:row>3</xdr:row>
      <xdr:rowOff>30833</xdr:rowOff>
    </xdr:from>
    <xdr:to>
      <xdr:col>7</xdr:col>
      <xdr:colOff>96902</xdr:colOff>
      <xdr:row>4</xdr:row>
      <xdr:rowOff>35237</xdr:rowOff>
    </xdr:to>
    <xdr:sp macro="" textlink="'Pivot Table'!A22">
      <xdr:nvSpPr>
        <xdr:cNvPr id="38" name="TextBox 37">
          <a:extLst>
            <a:ext uri="{FF2B5EF4-FFF2-40B4-BE49-F238E27FC236}">
              <a16:creationId xmlns:a16="http://schemas.microsoft.com/office/drawing/2014/main" id="{8C7615A8-A089-94C2-8B03-086FF4DC4A0C}"/>
            </a:ext>
          </a:extLst>
        </xdr:cNvPr>
        <xdr:cNvSpPr txBox="1"/>
      </xdr:nvSpPr>
      <xdr:spPr>
        <a:xfrm>
          <a:off x="3162521" y="585816"/>
          <a:ext cx="1189248" cy="1893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DE7FF6E-1E2A-4306-A4FE-8E8D89CF6693}" type="TxLink">
            <a:rPr lang="en-US" sz="1100" b="0" i="0" u="none" strike="noStrike">
              <a:solidFill>
                <a:srgbClr val="000000"/>
              </a:solidFill>
              <a:latin typeface="Aptos Narrow"/>
            </a:rPr>
            <a:pPr algn="ctr"/>
            <a:t>34.27</a:t>
          </a:fld>
          <a:endParaRPr lang="en-IN" sz="1100"/>
        </a:p>
      </xdr:txBody>
    </xdr:sp>
    <xdr:clientData/>
  </xdr:twoCellAnchor>
  <xdr:twoCellAnchor editAs="absolute">
    <xdr:from>
      <xdr:col>9</xdr:col>
      <xdr:colOff>494022</xdr:colOff>
      <xdr:row>0</xdr:row>
      <xdr:rowOff>29613</xdr:rowOff>
    </xdr:from>
    <xdr:to>
      <xdr:col>12</xdr:col>
      <xdr:colOff>168079</xdr:colOff>
      <xdr:row>6</xdr:row>
      <xdr:rowOff>117706</xdr:rowOff>
    </xdr:to>
    <xdr:sp macro="" textlink="">
      <xdr:nvSpPr>
        <xdr:cNvPr id="44" name="Rectangle: Rounded Corners 43">
          <a:extLst>
            <a:ext uri="{FF2B5EF4-FFF2-40B4-BE49-F238E27FC236}">
              <a16:creationId xmlns:a16="http://schemas.microsoft.com/office/drawing/2014/main" id="{EB8BCA85-4815-4699-B8AD-253403F574CB}"/>
            </a:ext>
          </a:extLst>
        </xdr:cNvPr>
        <xdr:cNvSpPr/>
      </xdr:nvSpPr>
      <xdr:spPr>
        <a:xfrm>
          <a:off x="5988685" y="29613"/>
          <a:ext cx="1505611" cy="1189780"/>
        </a:xfrm>
        <a:prstGeom prst="roundRect">
          <a:avLst>
            <a:gd name="adj" fmla="val 6267"/>
          </a:avLst>
        </a:prstGeom>
        <a:solidFill>
          <a:schemeClr val="bg2"/>
        </a:solidFill>
        <a:ln>
          <a:solidFill>
            <a:schemeClr val="tx2">
              <a:lumMod val="25000"/>
              <a:lumOff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oneCell">
    <xdr:from>
      <xdr:col>4</xdr:col>
      <xdr:colOff>493319</xdr:colOff>
      <xdr:row>3</xdr:row>
      <xdr:rowOff>22024</xdr:rowOff>
    </xdr:from>
    <xdr:to>
      <xdr:col>5</xdr:col>
      <xdr:colOff>70475</xdr:colOff>
      <xdr:row>4</xdr:row>
      <xdr:rowOff>22024</xdr:rowOff>
    </xdr:to>
    <xdr:pic>
      <xdr:nvPicPr>
        <xdr:cNvPr id="46" name="Graphic 45" descr="Hourglass Finished with solid fill">
          <a:extLst>
            <a:ext uri="{FF2B5EF4-FFF2-40B4-BE49-F238E27FC236}">
              <a16:creationId xmlns:a16="http://schemas.microsoft.com/office/drawing/2014/main" id="{C6FCE478-26FD-DA48-6CB3-BBB0F6C49C0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924672" y="577007"/>
          <a:ext cx="184994" cy="184994"/>
        </a:xfrm>
        <a:prstGeom prst="rect">
          <a:avLst/>
        </a:prstGeom>
      </xdr:spPr>
    </xdr:pic>
    <xdr:clientData/>
  </xdr:twoCellAnchor>
  <xdr:twoCellAnchor editAs="oneCell">
    <xdr:from>
      <xdr:col>0</xdr:col>
      <xdr:colOff>61665</xdr:colOff>
      <xdr:row>3</xdr:row>
      <xdr:rowOff>26428</xdr:rowOff>
    </xdr:from>
    <xdr:to>
      <xdr:col>1</xdr:col>
      <xdr:colOff>139291</xdr:colOff>
      <xdr:row>15</xdr:row>
      <xdr:rowOff>24580</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1E516D4C-240E-4C65-9AFB-CFC2CE48E9B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61665" y="581411"/>
              <a:ext cx="678312" cy="2215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204651</xdr:colOff>
      <xdr:row>3</xdr:row>
      <xdr:rowOff>176340</xdr:rowOff>
    </xdr:from>
    <xdr:to>
      <xdr:col>3</xdr:col>
      <xdr:colOff>108858</xdr:colOff>
      <xdr:row>6</xdr:row>
      <xdr:rowOff>73867</xdr:rowOff>
    </xdr:to>
    <xdr:graphicFrame macro="">
      <xdr:nvGraphicFramePr>
        <xdr:cNvPr id="14" name="Chart 13">
          <a:hlinkClick xmlns:r="http://schemas.openxmlformats.org/officeDocument/2006/relationships" r:id="rId8"/>
          <a:extLst>
            <a:ext uri="{FF2B5EF4-FFF2-40B4-BE49-F238E27FC236}">
              <a16:creationId xmlns:a16="http://schemas.microsoft.com/office/drawing/2014/main" id="{C31E0536-D812-4532-B9D4-1FD0498663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65549</xdr:colOff>
      <xdr:row>4</xdr:row>
      <xdr:rowOff>16387</xdr:rowOff>
    </xdr:from>
    <xdr:to>
      <xdr:col>5</xdr:col>
      <xdr:colOff>159775</xdr:colOff>
      <xdr:row>6</xdr:row>
      <xdr:rowOff>126998</xdr:rowOff>
    </xdr:to>
    <xdr:graphicFrame macro="">
      <xdr:nvGraphicFramePr>
        <xdr:cNvPr id="17" name="Chart 16">
          <a:hlinkClick xmlns:r="http://schemas.openxmlformats.org/officeDocument/2006/relationships" r:id="rId10"/>
          <a:extLst>
            <a:ext uri="{FF2B5EF4-FFF2-40B4-BE49-F238E27FC236}">
              <a16:creationId xmlns:a16="http://schemas.microsoft.com/office/drawing/2014/main" id="{68F6C626-3A0D-48EB-8378-8A7E4A0A5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139290</xdr:colOff>
      <xdr:row>3</xdr:row>
      <xdr:rowOff>77837</xdr:rowOff>
    </xdr:from>
    <xdr:to>
      <xdr:col>7</xdr:col>
      <xdr:colOff>147484</xdr:colOff>
      <xdr:row>7</xdr:row>
      <xdr:rowOff>41741</xdr:rowOff>
    </xdr:to>
    <xdr:graphicFrame macro="">
      <xdr:nvGraphicFramePr>
        <xdr:cNvPr id="4" name="Chart 3">
          <a:hlinkClick xmlns:r="http://schemas.openxmlformats.org/officeDocument/2006/relationships" r:id="rId12"/>
          <a:extLst>
            <a:ext uri="{FF2B5EF4-FFF2-40B4-BE49-F238E27FC236}">
              <a16:creationId xmlns:a16="http://schemas.microsoft.com/office/drawing/2014/main" id="{4AAAFFBC-1AE5-443F-AA45-7F235ADEAE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188454</xdr:colOff>
          <xdr:row>6</xdr:row>
          <xdr:rowOff>102418</xdr:rowOff>
        </xdr:from>
        <xdr:to>
          <xdr:col>7</xdr:col>
          <xdr:colOff>137531</xdr:colOff>
          <xdr:row>9</xdr:row>
          <xdr:rowOff>48361</xdr:rowOff>
        </xdr:to>
        <xdr:pic>
          <xdr:nvPicPr>
            <xdr:cNvPr id="24" name="Picture 23">
              <a:extLst>
                <a:ext uri="{FF2B5EF4-FFF2-40B4-BE49-F238E27FC236}">
                  <a16:creationId xmlns:a16="http://schemas.microsoft.com/office/drawing/2014/main" id="{28F23B7D-C7E3-8F59-7760-A0DAA9B94481}"/>
                </a:ext>
              </a:extLst>
            </xdr:cNvPr>
            <xdr:cNvPicPr>
              <a:picLocks noChangeAspect="1" noChangeArrowheads="1"/>
              <a:extLst>
                <a:ext uri="{84589F7E-364E-4C9E-8A38-B11213B215E9}">
                  <a14:cameraTool cellRange="'Pivot Table'!$A$50:$D$52" spid="_x0000_s2061"/>
                </a:ext>
              </a:extLst>
            </xdr:cNvPicPr>
          </xdr:nvPicPr>
          <xdr:blipFill>
            <a:blip xmlns:r="http://schemas.openxmlformats.org/officeDocument/2006/relationships" r:embed="rId14"/>
            <a:srcRect/>
            <a:stretch>
              <a:fillRect/>
            </a:stretch>
          </xdr:blipFill>
          <xdr:spPr bwMode="auto">
            <a:xfrm>
              <a:off x="798054" y="1195238"/>
              <a:ext cx="3606677" cy="49235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180878</xdr:colOff>
      <xdr:row>9</xdr:row>
      <xdr:rowOff>159834</xdr:rowOff>
    </xdr:from>
    <xdr:to>
      <xdr:col>7</xdr:col>
      <xdr:colOff>163870</xdr:colOff>
      <xdr:row>15</xdr:row>
      <xdr:rowOff>63854</xdr:rowOff>
    </xdr:to>
    <xdr:graphicFrame macro="">
      <xdr:nvGraphicFramePr>
        <xdr:cNvPr id="25" name="Chart 24">
          <a:extLst>
            <a:ext uri="{FF2B5EF4-FFF2-40B4-BE49-F238E27FC236}">
              <a16:creationId xmlns:a16="http://schemas.microsoft.com/office/drawing/2014/main" id="{F51D691D-2D69-4C0B-9420-BDED4E8235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xdr:col>
      <xdr:colOff>587463</xdr:colOff>
      <xdr:row>14</xdr:row>
      <xdr:rowOff>106425</xdr:rowOff>
    </xdr:from>
    <xdr:to>
      <xdr:col>5</xdr:col>
      <xdr:colOff>519352</xdr:colOff>
      <xdr:row>15</xdr:row>
      <xdr:rowOff>168090</xdr:rowOff>
    </xdr:to>
    <xdr:sp macro="" textlink="'Pivot Table'!A11">
      <xdr:nvSpPr>
        <xdr:cNvPr id="26" name="TextBox 25">
          <a:extLst>
            <a:ext uri="{FF2B5EF4-FFF2-40B4-BE49-F238E27FC236}">
              <a16:creationId xmlns:a16="http://schemas.microsoft.com/office/drawing/2014/main" id="{D1CCA5B4-5C14-42E8-8A3B-FBF500DDFF9F}"/>
            </a:ext>
          </a:extLst>
        </xdr:cNvPr>
        <xdr:cNvSpPr txBox="1"/>
      </xdr:nvSpPr>
      <xdr:spPr>
        <a:xfrm>
          <a:off x="1804960" y="2669129"/>
          <a:ext cx="1758135" cy="2447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750"/>
            <a:t>No.</a:t>
          </a:r>
          <a:r>
            <a:rPr lang="en-US" sz="750" baseline="0"/>
            <a:t> of patient by age group</a:t>
          </a:r>
          <a:endParaRPr lang="en-US" sz="750"/>
        </a:p>
      </xdr:txBody>
    </xdr:sp>
    <xdr:clientData/>
  </xdr:twoCellAnchor>
  <xdr:twoCellAnchor>
    <xdr:from>
      <xdr:col>7</xdr:col>
      <xdr:colOff>192771</xdr:colOff>
      <xdr:row>0</xdr:row>
      <xdr:rowOff>23055</xdr:rowOff>
    </xdr:from>
    <xdr:to>
      <xdr:col>9</xdr:col>
      <xdr:colOff>458756</xdr:colOff>
      <xdr:row>6</xdr:row>
      <xdr:rowOff>101081</xdr:rowOff>
    </xdr:to>
    <xdr:graphicFrame macro="">
      <xdr:nvGraphicFramePr>
        <xdr:cNvPr id="28" name="Chart 27">
          <a:extLst>
            <a:ext uri="{FF2B5EF4-FFF2-40B4-BE49-F238E27FC236}">
              <a16:creationId xmlns:a16="http://schemas.microsoft.com/office/drawing/2014/main" id="{9DAF8785-B404-4623-9810-A24409763D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7</xdr:col>
      <xdr:colOff>116632</xdr:colOff>
      <xdr:row>5</xdr:row>
      <xdr:rowOff>174950</xdr:rowOff>
    </xdr:from>
    <xdr:to>
      <xdr:col>10</xdr:col>
      <xdr:colOff>48521</xdr:colOff>
      <xdr:row>7</xdr:row>
      <xdr:rowOff>53890</xdr:rowOff>
    </xdr:to>
    <xdr:sp macro="" textlink="'Pivot Table'!A11">
      <xdr:nvSpPr>
        <xdr:cNvPr id="29" name="TextBox 28">
          <a:extLst>
            <a:ext uri="{FF2B5EF4-FFF2-40B4-BE49-F238E27FC236}">
              <a16:creationId xmlns:a16="http://schemas.microsoft.com/office/drawing/2014/main" id="{5E630EC3-6D23-4E78-BD7B-01787E72AD36}"/>
            </a:ext>
          </a:extLst>
        </xdr:cNvPr>
        <xdr:cNvSpPr txBox="1"/>
      </xdr:nvSpPr>
      <xdr:spPr>
        <a:xfrm>
          <a:off x="4389275" y="1088572"/>
          <a:ext cx="1763022" cy="244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a:t>Patient</a:t>
          </a:r>
          <a:r>
            <a:rPr lang="en-US" sz="800" baseline="0"/>
            <a:t> Attended With in Time</a:t>
          </a:r>
          <a:endParaRPr lang="en-US" sz="800"/>
        </a:p>
      </xdr:txBody>
    </xdr:sp>
    <xdr:clientData/>
  </xdr:twoCellAnchor>
  <xdr:twoCellAnchor>
    <xdr:from>
      <xdr:col>9</xdr:col>
      <xdr:colOff>516646</xdr:colOff>
      <xdr:row>0</xdr:row>
      <xdr:rowOff>30315</xdr:rowOff>
    </xdr:from>
    <xdr:to>
      <xdr:col>12</xdr:col>
      <xdr:colOff>163285</xdr:colOff>
      <xdr:row>6</xdr:row>
      <xdr:rowOff>101082</xdr:rowOff>
    </xdr:to>
    <xdr:graphicFrame macro="">
      <xdr:nvGraphicFramePr>
        <xdr:cNvPr id="31" name="Chart 30">
          <a:extLst>
            <a:ext uri="{FF2B5EF4-FFF2-40B4-BE49-F238E27FC236}">
              <a16:creationId xmlns:a16="http://schemas.microsoft.com/office/drawing/2014/main" id="{2F22F2D3-E16E-4853-970F-644A53C97C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9</xdr:col>
      <xdr:colOff>302953</xdr:colOff>
      <xdr:row>5</xdr:row>
      <xdr:rowOff>165459</xdr:rowOff>
    </xdr:from>
    <xdr:to>
      <xdr:col>12</xdr:col>
      <xdr:colOff>234842</xdr:colOff>
      <xdr:row>7</xdr:row>
      <xdr:rowOff>44399</xdr:rowOff>
    </xdr:to>
    <xdr:sp macro="" textlink="'Pivot Table'!A11">
      <xdr:nvSpPr>
        <xdr:cNvPr id="36" name="TextBox 35">
          <a:extLst>
            <a:ext uri="{FF2B5EF4-FFF2-40B4-BE49-F238E27FC236}">
              <a16:creationId xmlns:a16="http://schemas.microsoft.com/office/drawing/2014/main" id="{C2E6FEA5-1741-41F1-A2D2-A7E9C6DF52CC}"/>
            </a:ext>
          </a:extLst>
        </xdr:cNvPr>
        <xdr:cNvSpPr txBox="1"/>
      </xdr:nvSpPr>
      <xdr:spPr>
        <a:xfrm>
          <a:off x="5796351" y="1079081"/>
          <a:ext cx="1763022" cy="2443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a:t>Gender</a:t>
          </a:r>
          <a:r>
            <a:rPr lang="en-US" sz="800" baseline="0"/>
            <a:t> Wise Analysis</a:t>
          </a:r>
        </a:p>
        <a:p>
          <a:pPr algn="ctr"/>
          <a:endParaRPr lang="en-US" sz="800"/>
        </a:p>
      </xdr:txBody>
    </xdr:sp>
    <xdr:clientData/>
  </xdr:twoCellAnchor>
  <xdr:twoCellAnchor>
    <xdr:from>
      <xdr:col>7</xdr:col>
      <xdr:colOff>133121</xdr:colOff>
      <xdr:row>6</xdr:row>
      <xdr:rowOff>160118</xdr:rowOff>
    </xdr:from>
    <xdr:to>
      <xdr:col>12</xdr:col>
      <xdr:colOff>201977</xdr:colOff>
      <xdr:row>15</xdr:row>
      <xdr:rowOff>45903</xdr:rowOff>
    </xdr:to>
    <xdr:graphicFrame macro="">
      <xdr:nvGraphicFramePr>
        <xdr:cNvPr id="37" name="Chart 36">
          <a:extLst>
            <a:ext uri="{FF2B5EF4-FFF2-40B4-BE49-F238E27FC236}">
              <a16:creationId xmlns:a16="http://schemas.microsoft.com/office/drawing/2014/main" id="{3CD0BC65-B614-48DE-9351-787960C58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8</xdr:col>
      <xdr:colOff>369093</xdr:colOff>
      <xdr:row>14</xdr:row>
      <xdr:rowOff>99219</xdr:rowOff>
    </xdr:from>
    <xdr:to>
      <xdr:col>11</xdr:col>
      <xdr:colOff>300981</xdr:colOff>
      <xdr:row>15</xdr:row>
      <xdr:rowOff>160721</xdr:rowOff>
    </xdr:to>
    <xdr:sp macro="" textlink="'Pivot Table'!A11">
      <xdr:nvSpPr>
        <xdr:cNvPr id="39" name="TextBox 38">
          <a:extLst>
            <a:ext uri="{FF2B5EF4-FFF2-40B4-BE49-F238E27FC236}">
              <a16:creationId xmlns:a16="http://schemas.microsoft.com/office/drawing/2014/main" id="{DAD44961-BC32-411A-B9CC-1F5774FD558A}"/>
            </a:ext>
          </a:extLst>
        </xdr:cNvPr>
        <xdr:cNvSpPr txBox="1"/>
      </xdr:nvSpPr>
      <xdr:spPr>
        <a:xfrm>
          <a:off x="5258593" y="2655094"/>
          <a:ext cx="1765451" cy="244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800"/>
            <a:t>No.</a:t>
          </a:r>
          <a:r>
            <a:rPr lang="en-US" sz="800" baseline="0"/>
            <a:t> of patient department by referal</a:t>
          </a:r>
          <a:endParaRPr lang="en-US" sz="800"/>
        </a:p>
      </xdr:txBody>
    </xdr:sp>
    <xdr:clientData/>
  </xdr:twoCellAnchor>
  <xdr:twoCellAnchor editAs="oneCell">
    <xdr:from>
      <xdr:col>5</xdr:col>
      <xdr:colOff>146695</xdr:colOff>
      <xdr:row>0</xdr:row>
      <xdr:rowOff>73348</xdr:rowOff>
    </xdr:from>
    <xdr:to>
      <xdr:col>7</xdr:col>
      <xdr:colOff>130395</xdr:colOff>
      <xdr:row>2</xdr:row>
      <xdr:rowOff>114096</xdr:rowOff>
    </xdr:to>
    <mc:AlternateContent xmlns:mc="http://schemas.openxmlformats.org/markup-compatibility/2006" xmlns:a14="http://schemas.microsoft.com/office/drawing/2010/main">
      <mc:Choice Requires="a14">
        <xdr:graphicFrame macro="">
          <xdr:nvGraphicFramePr>
            <xdr:cNvPr id="41" name="Date (Year)">
              <a:extLst>
                <a:ext uri="{FF2B5EF4-FFF2-40B4-BE49-F238E27FC236}">
                  <a16:creationId xmlns:a16="http://schemas.microsoft.com/office/drawing/2014/main" id="{56C0024E-F18D-4165-BDA5-46BB9E70D20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202845" y="73348"/>
              <a:ext cx="1206160" cy="407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106680</xdr:colOff>
      <xdr:row>20</xdr:row>
      <xdr:rowOff>0</xdr:rowOff>
    </xdr:to>
    <xdr:graphicFrame macro="">
      <xdr:nvGraphicFramePr>
        <xdr:cNvPr id="2" name="Chart 1">
          <a:extLst>
            <a:ext uri="{FF2B5EF4-FFF2-40B4-BE49-F238E27FC236}">
              <a16:creationId xmlns:a16="http://schemas.microsoft.com/office/drawing/2014/main" id="{588320F1-8D89-4648-84BE-7966B6EB8A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8.13095E-8</cdr:x>
      <cdr:y>2.69498E-7</cdr:y>
    </cdr:from>
    <cdr:to>
      <cdr:x>0.03825</cdr:x>
      <cdr:y>0.12679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13B7E44-3E31-4440-DF4D-4E70AF4AF9A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 y="1"/>
          <a:ext cx="470452" cy="470452"/>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556260</xdr:colOff>
      <xdr:row>16</xdr:row>
      <xdr:rowOff>0</xdr:rowOff>
    </xdr:to>
    <xdr:graphicFrame macro="">
      <xdr:nvGraphicFramePr>
        <xdr:cNvPr id="2" name="Chart 1">
          <a:extLst>
            <a:ext uri="{FF2B5EF4-FFF2-40B4-BE49-F238E27FC236}">
              <a16:creationId xmlns:a16="http://schemas.microsoft.com/office/drawing/2014/main" id="{A66F3B73-1789-4E89-B1BD-8B63BB899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427597</xdr:colOff>
      <xdr:row>2</xdr:row>
      <xdr:rowOff>65784</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3E9D4AAF-5AFA-BF07-C6E2-CCBBA04E3F7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427597" cy="42759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5329</xdr:colOff>
      <xdr:row>0</xdr:row>
      <xdr:rowOff>0</xdr:rowOff>
    </xdr:from>
    <xdr:to>
      <xdr:col>17</xdr:col>
      <xdr:colOff>80493</xdr:colOff>
      <xdr:row>18</xdr:row>
      <xdr:rowOff>62089</xdr:rowOff>
    </xdr:to>
    <xdr:graphicFrame macro="">
      <xdr:nvGraphicFramePr>
        <xdr:cNvPr id="2" name="Chart 1">
          <a:extLst>
            <a:ext uri="{FF2B5EF4-FFF2-40B4-BE49-F238E27FC236}">
              <a16:creationId xmlns:a16="http://schemas.microsoft.com/office/drawing/2014/main" id="{7DE188CF-9C92-465E-867C-CC41CDCAF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383822</xdr:colOff>
      <xdr:row>2</xdr:row>
      <xdr:rowOff>22578</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662E01B7-1562-4B22-57AF-3E9698ED7CB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383822" cy="383822"/>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6105.554770717594" createdVersion="5" refreshedVersion="8" minRefreshableVersion="3" recordCount="0" supportSubquery="1" supportAdvancedDrill="1" xr:uid="{ABAE5580-4F58-4EB8-B33F-9C9549265878}">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Sep"/>
        <s v="2-Sep"/>
        <s v="3-Sep"/>
        <s v="4-Sep"/>
        <s v="5-Sep"/>
        <s v="6-Sep"/>
        <s v="7-Sep"/>
        <s v="8-Sep"/>
        <s v="9-Sep"/>
        <s v="10-Sep"/>
        <s v="11-Sep"/>
        <s v="12-Sep"/>
        <s v="13-Sep"/>
        <s v="14-Sep"/>
        <s v="15-Sep"/>
        <s v="16-Sep"/>
        <s v="17-Sep"/>
        <s v="18-Sep"/>
        <s v="19-Sep"/>
        <s v="20-Sep"/>
        <s v="21-Sep"/>
        <s v="22-Sep"/>
        <s v="23-Sep"/>
        <s v="24-Sep"/>
        <s v="25-Sep"/>
        <s v="26-Sep"/>
        <s v="27-Sep"/>
        <s v="28-Sep"/>
        <s v="29-Sep"/>
        <s v="30-Sep"/>
        <s v="1-Jan" u="1"/>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6105.554770949071" createdVersion="5" refreshedVersion="8" minRefreshableVersion="3" recordCount="0" supportSubquery="1" supportAdvancedDrill="1" xr:uid="{9A3B5F78-D91B-4BE1-B853-00447ABC8029}">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6105.554771064817" createdVersion="5" refreshedVersion="8" minRefreshableVersion="3" recordCount="0" supportSubquery="1" supportAdvancedDrill="1" xr:uid="{EF4F2C73-5160-46AC-AC02-86D40F12D4DA}">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6105.554771296294" createdVersion="5" refreshedVersion="8" minRefreshableVersion="3" recordCount="0" supportSubquery="1" supportAdvancedDrill="1" xr:uid="{96DFFF0D-ACBB-4A4B-96E2-30792445610E}">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6105.554771643518" createdVersion="5" refreshedVersion="8" minRefreshableVersion="3" recordCount="0" supportSubquery="1" supportAdvancedDrill="1" xr:uid="{513E3C29-4A1D-41F2-B2FC-2F67D66DCD78}">
  <cacheSource type="external" connectionId="3"/>
  <cacheFields count="4">
    <cacheField name="[Calenda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6105.554771990741" createdVersion="5" refreshedVersion="8" minRefreshableVersion="3" recordCount="0" supportSubquery="1" supportAdvancedDrill="1" xr:uid="{76B395D7-CD4D-47EE-909D-798946FFEF30}">
  <cacheSource type="external" connectionId="3"/>
  <cacheFields count="4">
    <cacheField name="[Calendar_Table].[Date (Day)].[Date (Day)]" caption="Date (Day)" numFmtId="0" hierarchy="2" level="1">
      <sharedItems count="31">
        <s v="1-Sep"/>
        <s v="2-Sep"/>
        <s v="3-Sep"/>
        <s v="4-Sep"/>
        <s v="5-Sep"/>
        <s v="6-Sep"/>
        <s v="7-Sep"/>
        <s v="8-Sep"/>
        <s v="9-Sep"/>
        <s v="10-Sep"/>
        <s v="11-Sep"/>
        <s v="12-Sep"/>
        <s v="13-Sep"/>
        <s v="14-Sep"/>
        <s v="15-Sep"/>
        <s v="16-Sep"/>
        <s v="17-Sep"/>
        <s v="18-Sep"/>
        <s v="19-Sep"/>
        <s v="20-Sep"/>
        <s v="21-Sep"/>
        <s v="22-Sep"/>
        <s v="23-Sep"/>
        <s v="24-Sep"/>
        <s v="25-Sep"/>
        <s v="26-Sep"/>
        <s v="27-Sep"/>
        <s v="28-Sep"/>
        <s v="29-Sep"/>
        <s v="30-Sep"/>
        <s v="1-Jun" u="1"/>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6105.554772453703" createdVersion="5" refreshedVersion="8" minRefreshableVersion="3" recordCount="0" supportSubquery="1" supportAdvancedDrill="1" xr:uid="{FC2E1A24-3B2A-459D-9981-16114275BA0C}">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n Admitted"/>
      </sharedItems>
    </cacheField>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6105.554772916665" createdVersion="5" refreshedVersion="8" minRefreshableVersion="3" recordCount="0" supportSubquery="1" supportAdvancedDrill="1" xr:uid="{0CA8A5AD-ABE0-4E82-923B-2F6FB45730D9}">
  <cacheSource type="external" connectionId="3"/>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8">
        <s v="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6105.554773263888" createdVersion="5" refreshedVersion="8" minRefreshableVersion="3" recordCount="0" supportSubquery="1" supportAdvancedDrill="1" xr:uid="{5935801F-165B-4070-9475-6E792D7204C8}">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 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6105.554773611111" createdVersion="5" refreshedVersion="8" minRefreshableVersion="3" recordCount="0" supportSubquery="1" supportAdvancedDrill="1" xr:uid="{BB5ADF4D-BE0E-498F-B5DB-FA06A8AB24CE}">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6105.554774074073" createdVersion="5" refreshedVersion="8" minRefreshableVersion="3" recordCount="0" supportSubquery="1" supportAdvancedDrill="1" xr:uid="{068DC59B-4F14-4624-BF2B-F0DFDCC09BAB}">
  <cacheSource type="external" connectionId="3"/>
  <cacheFields count="4">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4"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6105.554774421296" createdVersion="5" refreshedVersion="8" minRefreshableVersion="3" recordCount="0" supportSubquery="1" supportAdvancedDrill="1" xr:uid="{F43230F8-CA67-4C84-9332-427C976E0EC6}">
  <cacheSource type="external" connectionId="3"/>
  <cacheFields count="4">
    <cacheField name="[Calendar_Table].[Date (Month)].[Date (Month)]" caption="Date (Month)" numFmtId="0" hierarchy="1" level="1">
      <sharedItems count="1">
        <s v="May"/>
      </sharedItems>
    </cacheField>
    <cacheField name="[Calenda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_Table].[Date (Quarter)].[Date (Quarter)]" caption="Date (Quarter)" numFmtId="0" hierarchy="4" level="1">
      <sharedItems count="1">
        <s v="Qtr2"/>
      </sharedItems>
    </cacheField>
    <cacheField name="[Calendar_Table].[Date (Year)].[Date (Year)]" caption="Date (Year)" numFmtId="0" hierarchy="3" level="1">
      <sharedItems count="1">
        <s v="2023"/>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itya kumar" refreshedDate="46105.476835416666" createdVersion="3" refreshedVersion="8" minRefreshableVersion="3" recordCount="0" supportSubquery="1" supportAdvancedDrill="1" xr:uid="{DB989F50-5C90-4A4E-8744-BDCFDD722709}">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Race]" caption="Count of Patient Rac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2111450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A28006-A052-4A89-ABD3-DC174BBC0D17}" name="PivotTable2" cacheId="234" applyNumberFormats="0" applyBorderFormats="0" applyFontFormats="0" applyPatternFormats="0" applyAlignmentFormats="0" applyWidthHeightFormats="1" dataCaption="Values" tag="f06be862-fc36-438f-a3c8-593173c05d98"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970F1F-8759-41EF-AFC0-DA404493E4C7}" name="PivotTable9" cacheId="255" applyNumberFormats="0" applyBorderFormats="0" applyFontFormats="0" applyPatternFormats="0" applyAlignmentFormats="0" applyWidthHeightFormats="1" dataCaption="Values" tag="9dc3813c-6574-4ab9-8950-ad36fb707645" updatedVersion="8" minRefreshableVersion="3" subtotalHiddenItems="1" itemPrintTitles="1" createdVersion="5" indent="0" outline="1" outlineData="1" multipleFieldFilters="0" chartFormat="26">
  <location ref="J49:K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84">
      <pivotArea outline="0" collapsedLevelsAreSubtotals="1" fieldPosition="0"/>
    </format>
  </formats>
  <chartFormats count="3">
    <chartFormat chart="25" format="18" series="1">
      <pivotArea type="data" outline="0" fieldPosition="0">
        <references count="1">
          <reference field="4294967294" count="1" selected="0">
            <x v="0"/>
          </reference>
        </references>
      </pivotArea>
    </chartFormat>
    <chartFormat chart="25" format="19">
      <pivotArea type="data" outline="0" fieldPosition="0">
        <references count="2">
          <reference field="4294967294" count="1" selected="0">
            <x v="0"/>
          </reference>
          <reference field="1" count="1" selected="0">
            <x v="0"/>
          </reference>
        </references>
      </pivotArea>
    </chartFormat>
    <chartFormat chart="25" format="20">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730EA6-5E3E-4F39-A666-600EB9FD4B5B}" name="PivotTable7" cacheId="249" applyNumberFormats="0" applyBorderFormats="0" applyFontFormats="0" applyPatternFormats="0" applyAlignmentFormats="0" applyWidthHeightFormats="1" dataCaption="Values" tag="9dc3813c-6574-4ab9-8950-ad36fb707645" updatedVersion="8" minRefreshableVersion="3" subtotalHiddenItems="1" itemPrintTitles="1" createdVersion="5" indent="0" outline="1" outlineData="1" multipleFieldFilters="0" chartFormat="10">
  <location ref="A45:C48"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86">
      <pivotArea outline="0" collapsedLevelsAreSubtotals="1" fieldPosition="0"/>
    </format>
    <format dxfId="85">
      <pivotArea outline="0" fieldPosition="0">
        <references count="1">
          <reference field="4294967294" count="1">
            <x v="1"/>
          </reference>
        </references>
      </pivotArea>
    </format>
  </formats>
  <chartFormats count="4">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pivotArea type="data" outline="0" fieldPosition="0">
        <references count="2">
          <reference field="4294967294" count="1" selected="0">
            <x v="0"/>
          </reference>
          <reference field="2" count="1" selected="0">
            <x v="0"/>
          </reference>
        </references>
      </pivotArea>
    </chartFormat>
    <chartFormat chart="8"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DBDBCC-09E7-4036-BE94-21921BC519E5}" name="PivotTable8" cacheId="252" applyNumberFormats="0" applyBorderFormats="0" applyFontFormats="0" applyPatternFormats="0" applyAlignmentFormats="0" applyWidthHeightFormats="1" dataCaption="Values" tag="9dc3813c-6574-4ab9-8950-ad36fb707645" updatedVersion="8" minRefreshableVersion="3" subtotalHiddenItems="1" itemPrintTitles="1" createdVersion="5" indent="0" outline="1" outlineData="1" multipleFieldFilters="0" chartFormat="17">
  <location ref="F50:G5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numFmtId="1"/>
  </dataFields>
  <formats count="1">
    <format dxfId="87">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3C4ECD-4AD5-490A-BBDA-8641646F714A}" name="PivotTable6" cacheId="246" applyNumberFormats="0" applyBorderFormats="0" applyFontFormats="0" applyPatternFormats="0" applyAlignmentFormats="0" applyWidthHeightFormats="1" dataCaption="Values" tag="f06be862-fc36-438f-a3c8-593173c05d98" updatedVersion="8" minRefreshableVersion="3" subtotalHiddenItems="1" itemPrintTitles="1" createdVersion="5" indent="0" outline="1" outlineData="1" multipleFieldFilters="0" chartFormat="37">
  <location ref="M10:N41"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numFmtId="2"/>
  </dataFields>
  <formats count="2">
    <format dxfId="89">
      <pivotArea collapsedLevelsAreSubtotals="1" fieldPosition="0">
        <references count="1">
          <reference field="0" count="1">
            <x v="30"/>
          </reference>
        </references>
      </pivotArea>
    </format>
    <format dxfId="88">
      <pivotArea outline="0" collapsedLevelsAreSubtotals="1" fieldPosition="0"/>
    </format>
  </formats>
  <chartFormats count="5">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CEB1FE-ED93-478A-B2B1-3E2254E56971}" name="PivotTable4" cacheId="240" applyNumberFormats="0" applyBorderFormats="0" applyFontFormats="0" applyPatternFormats="0" applyAlignmentFormats="0" applyWidthHeightFormats="1" dataCaption="Values" tag="a9843e32-773f-4b5b-8ed6-318175953887"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90">
      <pivotArea outline="0" collapsedLevelsAreSubtotals="1" fieldPosition="0"/>
    </format>
  </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B8849E2-86A6-499A-8CFA-4BB2461FE0E6}" name="PivotTable13" cacheId="264" applyNumberFormats="0" applyBorderFormats="0" applyFontFormats="0" applyPatternFormats="0" applyAlignmentFormats="0" applyWidthHeightFormats="1" dataCaption="Values" tag="9dc3813c-6574-4ab9-8950-ad36fb707645" updatedVersion="8" minRefreshableVersion="3" subtotalHiddenItems="1" itemPrintTitles="1" createdVersion="5" indent="0" outline="1" outlineData="1" multipleFieldFilters="0" chartFormat="24">
  <location ref="I65:I67"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efaultSubtotal="0">
      <items count="1">
        <item s="1" x="0" e="0"/>
      </items>
    </pivotField>
  </pivotFields>
  <rowFields count="4">
    <field x="3"/>
    <field x="2"/>
    <field x="0"/>
    <field x="1"/>
  </rowFields>
  <rowItems count="2">
    <i>
      <x/>
    </i>
    <i t="grand">
      <x/>
    </i>
  </rowItems>
  <formats count="1">
    <format dxfId="91">
      <pivotArea outline="0" collapsedLevelsAreSubtotals="1" fieldPosition="0"/>
    </format>
  </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AD8CAC-C8A8-4BFB-95A1-44969903EF03}" name="PivotTable12" cacheId="261" applyNumberFormats="0" applyBorderFormats="0" applyFontFormats="0" applyPatternFormats="0" applyAlignmentFormats="0" applyWidthHeightFormats="1" dataCaption="Values" tag="9dc3813c-6574-4ab9-8950-ad36fb707645" updatedVersion="8" minRefreshableVersion="3" subtotalHiddenItems="1" itemPrintTitles="1" createdVersion="5" indent="0" outline="1" outlineData="1" multipleFieldFilters="0" chartFormat="24">
  <location ref="F65:G7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3"/>
    </i>
    <i>
      <x v="1"/>
    </i>
    <i>
      <x/>
    </i>
    <i>
      <x v="6"/>
    </i>
    <i>
      <x v="5"/>
    </i>
    <i>
      <x v="2"/>
    </i>
    <i>
      <x v="4"/>
    </i>
    <i t="grand">
      <x/>
    </i>
  </rowItems>
  <colItems count="1">
    <i/>
  </colItems>
  <dataFields count="1">
    <dataField name="Count of Department Referral" fld="1" subtotal="count" baseField="0" baseItem="0"/>
  </dataFields>
  <formats count="1">
    <format dxfId="92">
      <pivotArea outline="0" collapsedLevelsAreSubtotals="1" fieldPosition="0"/>
    </format>
  </formats>
  <chartFormats count="1">
    <chartFormat chart="2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906426-22F4-45AF-BBBB-A7E32AAFBE22}" name="PivotTable1" cacheId="231" applyNumberFormats="0" applyBorderFormats="0" applyFontFormats="0" applyPatternFormats="0" applyAlignmentFormats="0" applyWidthHeightFormats="1" dataCaption="Values" tag="f06be862-fc36-438f-a3c8-593173c05d98" updatedVersion="8" minRefreshableVersion="3" subtotalHiddenItems="1" itemPrintTitles="1" createdVersion="5" indent="0" outline="1" outlineData="1" multipleFieldFilters="0" chartFormat="17">
  <location ref="E11:F42"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13" format="6"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 count="1" selected="0">
            <x v="3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6B0998-B0D4-4E1F-BB42-DCA8C2D2639F}" name="PivotTable3" cacheId="237" applyNumberFormats="0" applyBorderFormats="0" applyFontFormats="0" applyPatternFormats="0" applyAlignmentFormats="0" applyWidthHeightFormats="1" dataCaption="Values" tag="9dc3813c-6574-4ab9-8950-ad36fb707645" updatedVersion="8" minRefreshableVersion="3" subtotalHiddenItems="1" itemPrintTitles="1" createdVersion="5" indent="0" outline="1" outlineData="1" multipleFieldFilters="0">
  <location ref="A21:A2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3">
      <pivotArea outline="0" collapsedLevelsAreSubtotals="1" fieldPosition="0"/>
    </format>
  </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572E29-7FFA-4BB1-A7AB-EA78C032163F}" name="PivotTable10" cacheId="258" applyNumberFormats="0" applyBorderFormats="0" applyFontFormats="0" applyPatternFormats="0" applyAlignmentFormats="0" applyWidthHeightFormats="1" dataCaption="Values" tag="9dc3813c-6574-4ab9-8950-ad36fb707645" updatedVersion="8" minRefreshableVersion="3" subtotalHiddenItems="1" itemPrintTitles="1" createdVersion="5" indent="0" outline="1" outlineData="1" multipleFieldFilters="0" chartFormat="31">
  <location ref="J56:K5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94">
      <pivotArea outline="0" collapsedLevelsAreSubtotals="1" fieldPosition="0"/>
    </format>
  </formats>
  <chartFormats count="3">
    <chartFormat chart="29" format="4" series="1">
      <pivotArea type="data" outline="0" fieldPosition="0">
        <references count="1">
          <reference field="4294967294" count="1" selected="0">
            <x v="0"/>
          </reference>
        </references>
      </pivotArea>
    </chartFormat>
    <chartFormat chart="29" format="5">
      <pivotArea type="data" outline="0" fieldPosition="0">
        <references count="2">
          <reference field="4294967294" count="1" selected="0">
            <x v="0"/>
          </reference>
          <reference field="2" count="1" selected="0">
            <x v="0"/>
          </reference>
        </references>
      </pivotArea>
    </chartFormat>
    <chartFormat chart="29"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B3DCC4-35EA-4957-A4D1-4AA558CFB644}" name="PivotTable5" cacheId="243" applyNumberFormats="0" applyBorderFormats="0" applyFontFormats="0" applyPatternFormats="0" applyAlignmentFormats="0" applyWidthHeightFormats="1" dataCaption="Values" tag="f06be862-fc36-438f-a3c8-593173c05d98" updatedVersion="8" minRefreshableVersion="3" subtotalHiddenItems="1" itemPrintTitles="1" createdVersion="5" indent="0" outline="1" outlineData="1" multipleFieldFilters="0" chartFormat="26">
  <location ref="I11:J42"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95">
      <pivotArea outline="0" collapsedLevelsAreSubtotals="1" fieldPosition="0"/>
    </format>
  </formats>
  <chartFormats count="5">
    <chartFormat chart="17"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Sep]"/>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54774F6-5110-442C-BDA3-98B40355BCB5}" sourceName="[Calendar_Table].[Date (Month)]">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0"/>
    <pivotTable tabId="1" name="PivotTable12"/>
    <pivotTable tabId="1" name="PivotTable13"/>
  </pivotTables>
  <data>
    <olap pivotCacheId="1521114504">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9DCBD4A-42B4-4953-AE29-748A571C4A1B}" sourceName="[Calendar_Table].[Date (Year)]">
  <pivotTables>
    <pivotTable tabId="1" name="PivotTable13"/>
    <pivotTable tabId="1" name="PivotTable1"/>
    <pivotTable tabId="1" name="PivotTable10"/>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52111450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E7E11B7F-F65A-45BB-B314-EBE2ED959571}" cache="Slicer_Date__Month" caption="Date (Month)" showCaption="0" level="1" style="My style" rowHeight="144000"/>
  <slicer name="Date (Year)" xr10:uid="{9DF3064E-FA96-4D3D-A6DB-CAFB5AC03A0F}" cache="Slicer_Date__Year" caption="Date (Year)" columnCount="2" showCaption="0" level="1" style="My style"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C8EE1-FA38-4CCE-AEA8-15A85741B2DD}">
  <dimension ref="A10:N74"/>
  <sheetViews>
    <sheetView topLeftCell="F61" zoomScale="110" workbookViewId="0">
      <selection activeCell="I66" sqref="I66"/>
    </sheetView>
  </sheetViews>
  <sheetFormatPr defaultRowHeight="14.4" x14ac:dyDescent="0.3"/>
  <cols>
    <col min="1" max="1" width="14.77734375" customWidth="1"/>
    <col min="2" max="2" width="9.21875" customWidth="1"/>
    <col min="3" max="3" width="10.77734375" customWidth="1"/>
    <col min="4" max="4" width="13.33203125" customWidth="1"/>
    <col min="5" max="6" width="23.33203125" bestFit="1" customWidth="1"/>
    <col min="7" max="7" width="26" bestFit="1" customWidth="1"/>
    <col min="8" max="8" width="28.6640625" bestFit="1" customWidth="1"/>
    <col min="9" max="9" width="12.44140625" bestFit="1" customWidth="1"/>
    <col min="10" max="10" width="23.33203125" bestFit="1" customWidth="1"/>
    <col min="11" max="11" width="26.33203125" bestFit="1" customWidth="1"/>
    <col min="13" max="13" width="12.44140625" bestFit="1" customWidth="1"/>
    <col min="14" max="14" width="28.88671875" bestFit="1" customWidth="1"/>
  </cols>
  <sheetData>
    <row r="10" spans="1:14" x14ac:dyDescent="0.3">
      <c r="A10" t="s">
        <v>0</v>
      </c>
      <c r="M10" s="3" t="s">
        <v>3</v>
      </c>
      <c r="N10" t="s">
        <v>2</v>
      </c>
    </row>
    <row r="11" spans="1:14" x14ac:dyDescent="0.3">
      <c r="A11" s="15">
        <v>469</v>
      </c>
      <c r="E11" s="3" t="s">
        <v>3</v>
      </c>
      <c r="F11" t="s">
        <v>0</v>
      </c>
      <c r="I11" s="3" t="s">
        <v>3</v>
      </c>
      <c r="J11" t="s">
        <v>1</v>
      </c>
      <c r="M11" s="4" t="s">
        <v>38</v>
      </c>
      <c r="N11" s="1">
        <v>3.5</v>
      </c>
    </row>
    <row r="12" spans="1:14" x14ac:dyDescent="0.3">
      <c r="E12" s="4" t="s">
        <v>38</v>
      </c>
      <c r="F12" s="15">
        <v>12</v>
      </c>
      <c r="I12" s="4" t="s">
        <v>38</v>
      </c>
      <c r="J12" s="1">
        <v>29.833333333333332</v>
      </c>
      <c r="M12" s="4" t="s">
        <v>39</v>
      </c>
      <c r="N12" s="1">
        <v>5.8</v>
      </c>
    </row>
    <row r="13" spans="1:14" x14ac:dyDescent="0.3">
      <c r="E13" s="4" t="s">
        <v>39</v>
      </c>
      <c r="F13" s="15">
        <v>18</v>
      </c>
      <c r="I13" s="4" t="s">
        <v>39</v>
      </c>
      <c r="J13" s="1">
        <v>34.777777777777779</v>
      </c>
      <c r="M13" s="4" t="s">
        <v>40</v>
      </c>
      <c r="N13" s="1">
        <v>3.6</v>
      </c>
    </row>
    <row r="14" spans="1:14" x14ac:dyDescent="0.3">
      <c r="A14" t="s">
        <v>2</v>
      </c>
      <c r="E14" s="4" t="s">
        <v>40</v>
      </c>
      <c r="F14" s="15">
        <v>17</v>
      </c>
      <c r="I14" s="4" t="s">
        <v>40</v>
      </c>
      <c r="J14" s="1">
        <v>35</v>
      </c>
      <c r="M14" s="4" t="s">
        <v>41</v>
      </c>
      <c r="N14" s="1">
        <v>7.25</v>
      </c>
    </row>
    <row r="15" spans="1:14" x14ac:dyDescent="0.3">
      <c r="A15" s="1">
        <v>4.9837398373983737</v>
      </c>
      <c r="E15" s="4" t="s">
        <v>41</v>
      </c>
      <c r="F15" s="15">
        <v>15</v>
      </c>
      <c r="I15" s="4" t="s">
        <v>41</v>
      </c>
      <c r="J15" s="1">
        <v>34.06666666666667</v>
      </c>
      <c r="M15" s="4" t="s">
        <v>42</v>
      </c>
      <c r="N15" s="1">
        <v>4</v>
      </c>
    </row>
    <row r="16" spans="1:14" x14ac:dyDescent="0.3">
      <c r="E16" s="4" t="s">
        <v>42</v>
      </c>
      <c r="F16" s="15">
        <v>13</v>
      </c>
      <c r="I16" s="4" t="s">
        <v>42</v>
      </c>
      <c r="J16" s="1">
        <v>34.846153846153847</v>
      </c>
      <c r="M16" s="4" t="s">
        <v>43</v>
      </c>
      <c r="N16" s="1">
        <v>6.2</v>
      </c>
    </row>
    <row r="17" spans="1:14" x14ac:dyDescent="0.3">
      <c r="E17" s="4" t="s">
        <v>43</v>
      </c>
      <c r="F17" s="15">
        <v>11</v>
      </c>
      <c r="I17" s="4" t="s">
        <v>43</v>
      </c>
      <c r="J17" s="1">
        <v>36.81818181818182</v>
      </c>
      <c r="M17" s="4" t="s">
        <v>44</v>
      </c>
      <c r="N17" s="1">
        <v>6.5</v>
      </c>
    </row>
    <row r="18" spans="1:14" x14ac:dyDescent="0.3">
      <c r="E18" s="4" t="s">
        <v>44</v>
      </c>
      <c r="F18" s="15">
        <v>14</v>
      </c>
      <c r="I18" s="4" t="s">
        <v>44</v>
      </c>
      <c r="J18" s="1">
        <v>34.5</v>
      </c>
      <c r="M18" s="4" t="s">
        <v>45</v>
      </c>
      <c r="N18" s="1">
        <v>6</v>
      </c>
    </row>
    <row r="19" spans="1:14" x14ac:dyDescent="0.3">
      <c r="E19" s="4" t="s">
        <v>45</v>
      </c>
      <c r="F19" s="15">
        <v>17</v>
      </c>
      <c r="I19" s="4" t="s">
        <v>45</v>
      </c>
      <c r="J19" s="1">
        <v>32.882352941176471</v>
      </c>
      <c r="M19" s="4" t="s">
        <v>46</v>
      </c>
      <c r="N19" s="1">
        <v>1.5</v>
      </c>
    </row>
    <row r="20" spans="1:14" x14ac:dyDescent="0.3">
      <c r="E20" s="4" t="s">
        <v>46</v>
      </c>
      <c r="F20" s="15">
        <v>15</v>
      </c>
      <c r="I20" s="4" t="s">
        <v>46</v>
      </c>
      <c r="J20" s="1">
        <v>43.466666666666669</v>
      </c>
      <c r="M20" s="4" t="s">
        <v>47</v>
      </c>
      <c r="N20" s="1">
        <v>2.5</v>
      </c>
    </row>
    <row r="21" spans="1:14" x14ac:dyDescent="0.3">
      <c r="A21" t="s">
        <v>1</v>
      </c>
      <c r="E21" s="4" t="s">
        <v>47</v>
      </c>
      <c r="F21" s="15">
        <v>16</v>
      </c>
      <c r="I21" s="4" t="s">
        <v>47</v>
      </c>
      <c r="J21" s="1">
        <v>28.375</v>
      </c>
      <c r="M21" s="4" t="s">
        <v>48</v>
      </c>
      <c r="N21" s="1">
        <v>7.25</v>
      </c>
    </row>
    <row r="22" spans="1:14" x14ac:dyDescent="0.3">
      <c r="A22" s="1">
        <v>34.268656716417908</v>
      </c>
      <c r="E22" s="4" t="s">
        <v>48</v>
      </c>
      <c r="F22" s="15">
        <v>9</v>
      </c>
      <c r="I22" s="4" t="s">
        <v>48</v>
      </c>
      <c r="J22" s="1">
        <v>34.777777777777779</v>
      </c>
      <c r="M22" s="4" t="s">
        <v>49</v>
      </c>
      <c r="N22" s="1">
        <v>1.5</v>
      </c>
    </row>
    <row r="23" spans="1:14" x14ac:dyDescent="0.3">
      <c r="E23" s="4" t="s">
        <v>49</v>
      </c>
      <c r="F23" s="15">
        <v>10</v>
      </c>
      <c r="I23" s="4" t="s">
        <v>49</v>
      </c>
      <c r="J23" s="1">
        <v>35.200000000000003</v>
      </c>
      <c r="M23" s="4" t="s">
        <v>50</v>
      </c>
      <c r="N23" s="1">
        <v>5</v>
      </c>
    </row>
    <row r="24" spans="1:14" x14ac:dyDescent="0.3">
      <c r="E24" s="4" t="s">
        <v>50</v>
      </c>
      <c r="F24" s="15">
        <v>12</v>
      </c>
      <c r="I24" s="4" t="s">
        <v>50</v>
      </c>
      <c r="J24" s="1">
        <v>32</v>
      </c>
      <c r="M24" s="4" t="s">
        <v>51</v>
      </c>
      <c r="N24" s="1">
        <v>6.5</v>
      </c>
    </row>
    <row r="25" spans="1:14" x14ac:dyDescent="0.3">
      <c r="E25" s="4" t="s">
        <v>51</v>
      </c>
      <c r="F25" s="15">
        <v>13</v>
      </c>
      <c r="I25" s="4" t="s">
        <v>51</v>
      </c>
      <c r="J25" s="1">
        <v>37.615384615384613</v>
      </c>
      <c r="M25" s="4" t="s">
        <v>52</v>
      </c>
      <c r="N25" s="1">
        <v>4.1111111111111107</v>
      </c>
    </row>
    <row r="26" spans="1:14" x14ac:dyDescent="0.3">
      <c r="E26" s="4" t="s">
        <v>52</v>
      </c>
      <c r="F26" s="15">
        <v>26</v>
      </c>
      <c r="I26" s="4" t="s">
        <v>52</v>
      </c>
      <c r="J26" s="1">
        <v>37.384615384615387</v>
      </c>
      <c r="M26" s="4" t="s">
        <v>53</v>
      </c>
      <c r="N26" s="1">
        <v>6.6</v>
      </c>
    </row>
    <row r="27" spans="1:14" x14ac:dyDescent="0.3">
      <c r="E27" s="4" t="s">
        <v>53</v>
      </c>
      <c r="F27" s="15">
        <v>22</v>
      </c>
      <c r="I27" s="4" t="s">
        <v>53</v>
      </c>
      <c r="J27" s="1">
        <v>33.954545454545453</v>
      </c>
      <c r="M27" s="4" t="s">
        <v>54</v>
      </c>
      <c r="N27" s="1">
        <v>5.2</v>
      </c>
    </row>
    <row r="28" spans="1:14" x14ac:dyDescent="0.3">
      <c r="E28" s="4" t="s">
        <v>54</v>
      </c>
      <c r="F28" s="15">
        <v>16</v>
      </c>
      <c r="I28" s="4" t="s">
        <v>54</v>
      </c>
      <c r="J28" s="1">
        <v>32.5</v>
      </c>
      <c r="M28" s="4" t="s">
        <v>55</v>
      </c>
      <c r="N28" s="1">
        <v>5.5</v>
      </c>
    </row>
    <row r="29" spans="1:14" x14ac:dyDescent="0.3">
      <c r="E29" s="4" t="s">
        <v>55</v>
      </c>
      <c r="F29" s="15">
        <v>12</v>
      </c>
      <c r="I29" s="4" t="s">
        <v>55</v>
      </c>
      <c r="J29" s="1">
        <v>37.25</v>
      </c>
      <c r="M29" s="4" t="s">
        <v>56</v>
      </c>
      <c r="N29" s="1">
        <v>3.3333333333333335</v>
      </c>
    </row>
    <row r="30" spans="1:14" x14ac:dyDescent="0.3">
      <c r="E30" s="4" t="s">
        <v>56</v>
      </c>
      <c r="F30" s="15">
        <v>21</v>
      </c>
      <c r="I30" s="4" t="s">
        <v>56</v>
      </c>
      <c r="J30" s="1">
        <v>34.047619047619051</v>
      </c>
      <c r="M30" s="4" t="s">
        <v>57</v>
      </c>
      <c r="N30" s="1">
        <v>5</v>
      </c>
    </row>
    <row r="31" spans="1:14" x14ac:dyDescent="0.3">
      <c r="E31" s="4" t="s">
        <v>57</v>
      </c>
      <c r="F31" s="15">
        <v>12</v>
      </c>
      <c r="I31" s="4" t="s">
        <v>57</v>
      </c>
      <c r="J31" s="1">
        <v>34.583333333333336</v>
      </c>
      <c r="M31" s="4" t="s">
        <v>58</v>
      </c>
      <c r="N31" s="1">
        <v>6.5</v>
      </c>
    </row>
    <row r="32" spans="1:14" x14ac:dyDescent="0.3">
      <c r="E32" s="4" t="s">
        <v>58</v>
      </c>
      <c r="F32" s="15">
        <v>15</v>
      </c>
      <c r="I32" s="4" t="s">
        <v>58</v>
      </c>
      <c r="J32" s="1">
        <v>31</v>
      </c>
      <c r="M32" s="4" t="s">
        <v>59</v>
      </c>
      <c r="N32" s="1">
        <v>3</v>
      </c>
    </row>
    <row r="33" spans="1:14" x14ac:dyDescent="0.3">
      <c r="E33" s="4" t="s">
        <v>59</v>
      </c>
      <c r="F33" s="15">
        <v>23</v>
      </c>
      <c r="I33" s="4" t="s">
        <v>59</v>
      </c>
      <c r="J33" s="1">
        <v>33.347826086956523</v>
      </c>
      <c r="M33" s="4" t="s">
        <v>60</v>
      </c>
      <c r="N33" s="1">
        <v>5.333333333333333</v>
      </c>
    </row>
    <row r="34" spans="1:14" x14ac:dyDescent="0.3">
      <c r="E34" s="4" t="s">
        <v>60</v>
      </c>
      <c r="F34" s="15">
        <v>15</v>
      </c>
      <c r="I34" s="4" t="s">
        <v>60</v>
      </c>
      <c r="J34" s="1">
        <v>33.799999999999997</v>
      </c>
      <c r="M34" s="4" t="s">
        <v>61</v>
      </c>
      <c r="N34" s="1">
        <v>7.333333333333333</v>
      </c>
    </row>
    <row r="35" spans="1:14" x14ac:dyDescent="0.3">
      <c r="E35" s="4" t="s">
        <v>61</v>
      </c>
      <c r="F35" s="15">
        <v>15</v>
      </c>
      <c r="I35" s="4" t="s">
        <v>61</v>
      </c>
      <c r="J35" s="1">
        <v>32.466666666666669</v>
      </c>
      <c r="M35" s="4" t="s">
        <v>62</v>
      </c>
      <c r="N35" s="1">
        <v>5.6</v>
      </c>
    </row>
    <row r="36" spans="1:14" x14ac:dyDescent="0.3">
      <c r="E36" s="4" t="s">
        <v>62</v>
      </c>
      <c r="F36" s="15">
        <v>14</v>
      </c>
      <c r="I36" s="4" t="s">
        <v>62</v>
      </c>
      <c r="J36" s="1">
        <v>36.642857142857146</v>
      </c>
      <c r="M36" s="4" t="s">
        <v>63</v>
      </c>
      <c r="N36" s="1">
        <v>4.4000000000000004</v>
      </c>
    </row>
    <row r="37" spans="1:14" x14ac:dyDescent="0.3">
      <c r="E37" s="4" t="s">
        <v>63</v>
      </c>
      <c r="F37" s="15">
        <v>19</v>
      </c>
      <c r="I37" s="4" t="s">
        <v>63</v>
      </c>
      <c r="J37" s="1">
        <v>32.631578947368418</v>
      </c>
      <c r="M37" s="4" t="s">
        <v>64</v>
      </c>
      <c r="N37" s="1">
        <v>4</v>
      </c>
    </row>
    <row r="38" spans="1:14" x14ac:dyDescent="0.3">
      <c r="E38" s="4" t="s">
        <v>64</v>
      </c>
      <c r="F38" s="15">
        <v>17</v>
      </c>
      <c r="I38" s="4" t="s">
        <v>64</v>
      </c>
      <c r="J38" s="1">
        <v>32.176470588235297</v>
      </c>
      <c r="M38" s="4" t="s">
        <v>65</v>
      </c>
      <c r="N38" s="1">
        <v>3</v>
      </c>
    </row>
    <row r="39" spans="1:14" x14ac:dyDescent="0.3">
      <c r="E39" s="4" t="s">
        <v>65</v>
      </c>
      <c r="F39" s="15">
        <v>16</v>
      </c>
      <c r="I39" s="4" t="s">
        <v>65</v>
      </c>
      <c r="J39" s="1">
        <v>33.5</v>
      </c>
      <c r="M39" s="4" t="s">
        <v>66</v>
      </c>
      <c r="N39" s="1">
        <v>5.666666666666667</v>
      </c>
    </row>
    <row r="40" spans="1:14" x14ac:dyDescent="0.3">
      <c r="E40" s="4" t="s">
        <v>66</v>
      </c>
      <c r="F40" s="15">
        <v>15</v>
      </c>
      <c r="I40" s="4" t="s">
        <v>66</v>
      </c>
      <c r="J40" s="1">
        <v>33.200000000000003</v>
      </c>
      <c r="M40" s="4" t="s">
        <v>67</v>
      </c>
      <c r="N40" s="1">
        <v>5.8571428571428568</v>
      </c>
    </row>
    <row r="41" spans="1:14" x14ac:dyDescent="0.3">
      <c r="E41" s="4" t="s">
        <v>67</v>
      </c>
      <c r="F41" s="15">
        <v>19</v>
      </c>
      <c r="I41" s="4" t="s">
        <v>67</v>
      </c>
      <c r="J41" s="1">
        <v>35.89473684210526</v>
      </c>
      <c r="M41" s="4" t="s">
        <v>4</v>
      </c>
      <c r="N41" s="1">
        <v>4.9837398373983737</v>
      </c>
    </row>
    <row r="42" spans="1:14" x14ac:dyDescent="0.3">
      <c r="E42" s="4" t="s">
        <v>4</v>
      </c>
      <c r="F42" s="15">
        <v>469</v>
      </c>
      <c r="I42" s="4" t="s">
        <v>4</v>
      </c>
      <c r="J42" s="1">
        <v>34.268656716417908</v>
      </c>
    </row>
    <row r="45" spans="1:14" x14ac:dyDescent="0.3">
      <c r="A45" s="3" t="s">
        <v>3</v>
      </c>
      <c r="B45" t="s">
        <v>6</v>
      </c>
      <c r="C45" t="s">
        <v>9</v>
      </c>
    </row>
    <row r="46" spans="1:14" x14ac:dyDescent="0.3">
      <c r="A46" s="4" t="s">
        <v>7</v>
      </c>
      <c r="B46" s="8">
        <v>249</v>
      </c>
      <c r="C46" s="9">
        <v>0.53091684434968012</v>
      </c>
    </row>
    <row r="47" spans="1:14" x14ac:dyDescent="0.3">
      <c r="A47" s="4" t="s">
        <v>8</v>
      </c>
      <c r="B47" s="8">
        <v>220</v>
      </c>
      <c r="C47" s="9">
        <v>0.46908315565031983</v>
      </c>
    </row>
    <row r="48" spans="1:14" x14ac:dyDescent="0.3">
      <c r="A48" s="4" t="s">
        <v>4</v>
      </c>
      <c r="B48" s="8">
        <v>469</v>
      </c>
      <c r="C48" s="9">
        <v>1</v>
      </c>
    </row>
    <row r="49" spans="1:11" x14ac:dyDescent="0.3">
      <c r="J49" s="3" t="s">
        <v>3</v>
      </c>
      <c r="K49" t="s">
        <v>24</v>
      </c>
    </row>
    <row r="50" spans="1:11" x14ac:dyDescent="0.3">
      <c r="A50" s="12" t="s">
        <v>10</v>
      </c>
      <c r="B50" s="12" t="s">
        <v>12</v>
      </c>
      <c r="C50" s="12" t="s">
        <v>11</v>
      </c>
      <c r="D50" s="11"/>
      <c r="F50" s="3" t="s">
        <v>3</v>
      </c>
      <c r="G50" t="s">
        <v>13</v>
      </c>
      <c r="J50" s="4" t="s">
        <v>23</v>
      </c>
      <c r="K50" s="8">
        <v>257</v>
      </c>
    </row>
    <row r="51" spans="1:11" x14ac:dyDescent="0.3">
      <c r="A51" s="13" t="str">
        <f>A47</f>
        <v>Non Admitted</v>
      </c>
      <c r="B51" s="13">
        <f t="shared" ref="B51:C51" si="0">B47</f>
        <v>220</v>
      </c>
      <c r="C51" s="14">
        <f t="shared" si="0"/>
        <v>0.46908315565031983</v>
      </c>
      <c r="D51" s="5"/>
      <c r="F51" s="4" t="s">
        <v>14</v>
      </c>
      <c r="G51" s="8">
        <v>61</v>
      </c>
      <c r="J51" s="4" t="s">
        <v>22</v>
      </c>
      <c r="K51" s="8">
        <v>212</v>
      </c>
    </row>
    <row r="52" spans="1:11" x14ac:dyDescent="0.3">
      <c r="A52" s="13" t="str">
        <f>A46</f>
        <v>Admitted</v>
      </c>
      <c r="B52" s="13">
        <f t="shared" ref="B52:C52" si="1">B46</f>
        <v>249</v>
      </c>
      <c r="C52" s="14">
        <f t="shared" si="1"/>
        <v>0.53091684434968012</v>
      </c>
      <c r="D52" s="5"/>
      <c r="F52" s="4" t="s">
        <v>15</v>
      </c>
      <c r="G52" s="8">
        <v>56</v>
      </c>
      <c r="J52" s="4" t="s">
        <v>4</v>
      </c>
      <c r="K52" s="8">
        <v>469</v>
      </c>
    </row>
    <row r="53" spans="1:11" x14ac:dyDescent="0.3">
      <c r="D53" s="10"/>
      <c r="F53" s="4" t="s">
        <v>16</v>
      </c>
      <c r="G53" s="8">
        <v>58</v>
      </c>
    </row>
    <row r="54" spans="1:11" x14ac:dyDescent="0.3">
      <c r="C54" s="10"/>
      <c r="F54" s="4" t="s">
        <v>17</v>
      </c>
      <c r="G54" s="8">
        <v>56</v>
      </c>
    </row>
    <row r="55" spans="1:11" x14ac:dyDescent="0.3">
      <c r="F55" s="4" t="s">
        <v>18</v>
      </c>
      <c r="G55" s="8">
        <v>66</v>
      </c>
    </row>
    <row r="56" spans="1:11" x14ac:dyDescent="0.3">
      <c r="F56" s="4" t="s">
        <v>19</v>
      </c>
      <c r="G56" s="8">
        <v>62</v>
      </c>
      <c r="J56" s="3" t="s">
        <v>3</v>
      </c>
      <c r="K56" t="s">
        <v>25</v>
      </c>
    </row>
    <row r="57" spans="1:11" x14ac:dyDescent="0.3">
      <c r="F57" s="4" t="s">
        <v>20</v>
      </c>
      <c r="G57" s="8">
        <v>58</v>
      </c>
      <c r="J57" s="4" t="s">
        <v>26</v>
      </c>
      <c r="K57" s="8">
        <v>219</v>
      </c>
    </row>
    <row r="58" spans="1:11" x14ac:dyDescent="0.3">
      <c r="F58" s="4" t="s">
        <v>21</v>
      </c>
      <c r="G58" s="8">
        <v>52</v>
      </c>
      <c r="J58" s="4" t="s">
        <v>27</v>
      </c>
      <c r="K58" s="8">
        <v>250</v>
      </c>
    </row>
    <row r="59" spans="1:11" x14ac:dyDescent="0.3">
      <c r="F59" s="4" t="s">
        <v>4</v>
      </c>
      <c r="G59" s="8">
        <v>469</v>
      </c>
      <c r="J59" s="4" t="s">
        <v>4</v>
      </c>
      <c r="K59" s="8">
        <v>469</v>
      </c>
    </row>
    <row r="65" spans="6:9" x14ac:dyDescent="0.3">
      <c r="F65" s="3" t="s">
        <v>3</v>
      </c>
      <c r="G65" t="s">
        <v>28</v>
      </c>
      <c r="I65" s="3" t="s">
        <v>3</v>
      </c>
    </row>
    <row r="66" spans="6:9" x14ac:dyDescent="0.3">
      <c r="F66" s="4" t="s">
        <v>36</v>
      </c>
      <c r="G66" s="8">
        <v>6</v>
      </c>
      <c r="I66" s="4" t="s">
        <v>37</v>
      </c>
    </row>
    <row r="67" spans="6:9" x14ac:dyDescent="0.3">
      <c r="F67" s="4" t="s">
        <v>32</v>
      </c>
      <c r="G67" s="8">
        <v>7</v>
      </c>
      <c r="I67" s="4" t="s">
        <v>4</v>
      </c>
    </row>
    <row r="68" spans="6:9" x14ac:dyDescent="0.3">
      <c r="F68" s="4" t="s">
        <v>30</v>
      </c>
      <c r="G68" s="8">
        <v>11</v>
      </c>
    </row>
    <row r="69" spans="6:9" x14ac:dyDescent="0.3">
      <c r="F69" s="4" t="s">
        <v>29</v>
      </c>
      <c r="G69" s="8">
        <v>13</v>
      </c>
    </row>
    <row r="70" spans="6:9" x14ac:dyDescent="0.3">
      <c r="F70" s="4" t="s">
        <v>35</v>
      </c>
      <c r="G70" s="8">
        <v>17</v>
      </c>
    </row>
    <row r="71" spans="6:9" x14ac:dyDescent="0.3">
      <c r="F71" s="4" t="s">
        <v>34</v>
      </c>
      <c r="G71" s="8">
        <v>48</v>
      </c>
    </row>
    <row r="72" spans="6:9" x14ac:dyDescent="0.3">
      <c r="F72" s="4" t="s">
        <v>31</v>
      </c>
      <c r="G72" s="8">
        <v>107</v>
      </c>
    </row>
    <row r="73" spans="6:9" x14ac:dyDescent="0.3">
      <c r="F73" s="4" t="s">
        <v>33</v>
      </c>
      <c r="G73" s="8">
        <v>260</v>
      </c>
    </row>
    <row r="74" spans="6:9" x14ac:dyDescent="0.3">
      <c r="F74" s="4" t="s">
        <v>4</v>
      </c>
      <c r="G74" s="8">
        <v>469</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97F61-DDF0-4E35-8D04-9895F560F834}">
  <dimension ref="A1"/>
  <sheetViews>
    <sheetView tabSelected="1" zoomScale="187" zoomScaleNormal="128" workbookViewId="0">
      <selection activeCell="H17" sqref="H17"/>
    </sheetView>
  </sheetViews>
  <sheetFormatPr defaultRowHeight="14.4" x14ac:dyDescent="0.3"/>
  <cols>
    <col min="1" max="16384" width="8.88671875" style="2"/>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4D055-6311-4283-8E53-8B68C0ADC7C4}">
  <dimension ref="A1"/>
  <sheetViews>
    <sheetView zoomScale="115" workbookViewId="0"/>
  </sheetViews>
  <sheetFormatPr defaultRowHeight="14.4" x14ac:dyDescent="0.3"/>
  <cols>
    <col min="1" max="16384" width="8.88671875" style="5"/>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FB49F-9E58-45C1-8B6B-85E142BF501A}">
  <dimension ref="A1:Z36"/>
  <sheetViews>
    <sheetView zoomScale="139" workbookViewId="0"/>
  </sheetViews>
  <sheetFormatPr defaultRowHeight="14.4" x14ac:dyDescent="0.3"/>
  <sheetData>
    <row r="1" spans="1:26" x14ac:dyDescent="0.3">
      <c r="A1" s="5"/>
      <c r="B1" s="5"/>
      <c r="C1" s="5"/>
      <c r="D1" s="5"/>
      <c r="E1" s="5"/>
      <c r="F1" s="5"/>
      <c r="G1" s="5"/>
      <c r="H1" s="5"/>
      <c r="I1" s="5"/>
      <c r="J1" s="5"/>
      <c r="K1" s="5"/>
      <c r="L1" s="5"/>
      <c r="M1" s="5"/>
      <c r="N1" s="5"/>
      <c r="O1" s="5"/>
      <c r="P1" s="5"/>
      <c r="Q1" s="5"/>
      <c r="R1" s="5"/>
      <c r="S1" s="5"/>
      <c r="T1" s="5"/>
      <c r="U1" s="5"/>
      <c r="V1" s="5"/>
      <c r="W1" s="5"/>
      <c r="X1" s="5"/>
      <c r="Y1" s="5"/>
      <c r="Z1" s="5"/>
    </row>
    <row r="2" spans="1:26" x14ac:dyDescent="0.3">
      <c r="A2" s="5"/>
      <c r="B2" s="5"/>
      <c r="C2" s="5"/>
      <c r="D2" s="5"/>
      <c r="E2" s="5"/>
      <c r="F2" s="5"/>
      <c r="G2" s="5"/>
      <c r="H2" s="5"/>
      <c r="I2" s="5"/>
      <c r="J2" s="5"/>
      <c r="K2" s="5"/>
      <c r="L2" s="5"/>
      <c r="M2" s="5"/>
      <c r="N2" s="5"/>
      <c r="O2" s="5"/>
      <c r="P2" s="5"/>
      <c r="Q2" s="5"/>
      <c r="R2" s="5"/>
      <c r="S2" s="5"/>
      <c r="T2" s="5"/>
      <c r="U2" s="5"/>
      <c r="V2" s="5"/>
      <c r="W2" s="5"/>
      <c r="X2" s="5"/>
      <c r="Y2" s="5"/>
      <c r="Z2" s="5"/>
    </row>
    <row r="3" spans="1:26" x14ac:dyDescent="0.3">
      <c r="A3" s="5"/>
      <c r="B3" s="5"/>
      <c r="C3" s="5"/>
      <c r="D3" s="5"/>
      <c r="E3" s="5"/>
      <c r="F3" s="5"/>
      <c r="G3" s="5"/>
      <c r="H3" s="5"/>
      <c r="I3" s="5"/>
      <c r="J3" s="5"/>
      <c r="K3" s="5"/>
      <c r="L3" s="5"/>
      <c r="M3" s="5"/>
      <c r="N3" s="5"/>
      <c r="O3" s="5"/>
      <c r="P3" s="5"/>
      <c r="Q3" s="5"/>
      <c r="R3" s="5"/>
      <c r="S3" s="5"/>
      <c r="T3" s="5"/>
      <c r="U3" s="5"/>
      <c r="V3" s="5"/>
      <c r="W3" s="5"/>
      <c r="X3" s="5"/>
      <c r="Y3" s="5"/>
      <c r="Z3" s="5"/>
    </row>
    <row r="4" spans="1:26" x14ac:dyDescent="0.3">
      <c r="A4" s="5"/>
      <c r="B4" s="5"/>
      <c r="C4" s="5"/>
      <c r="D4" s="5"/>
      <c r="E4" s="5"/>
      <c r="F4" s="5"/>
      <c r="G4" s="5"/>
      <c r="H4" s="5"/>
      <c r="I4" s="5"/>
      <c r="J4" s="5"/>
      <c r="K4" s="5"/>
      <c r="L4" s="5"/>
      <c r="M4" s="5"/>
      <c r="N4" s="5"/>
      <c r="O4" s="5"/>
      <c r="P4" s="5"/>
      <c r="Q4" s="5"/>
      <c r="R4" s="5"/>
      <c r="S4" s="5"/>
      <c r="T4" s="5"/>
      <c r="U4" s="5"/>
      <c r="V4" s="5"/>
      <c r="W4" s="5"/>
      <c r="X4" s="5"/>
      <c r="Y4" s="5"/>
      <c r="Z4" s="5"/>
    </row>
    <row r="5" spans="1:26" x14ac:dyDescent="0.3">
      <c r="A5" s="5"/>
      <c r="B5" s="5"/>
      <c r="C5" s="5"/>
      <c r="D5" s="5"/>
      <c r="E5" s="5"/>
      <c r="F5" s="5"/>
      <c r="G5" s="5"/>
      <c r="H5" s="5"/>
      <c r="I5" s="5"/>
      <c r="J5" s="5"/>
      <c r="K5" s="5"/>
      <c r="L5" s="5"/>
      <c r="M5" s="5"/>
      <c r="N5" s="5"/>
      <c r="O5" s="5"/>
      <c r="P5" s="5"/>
      <c r="Q5" s="5"/>
      <c r="R5" s="5"/>
      <c r="S5" s="5"/>
      <c r="T5" s="5"/>
      <c r="U5" s="5"/>
      <c r="V5" s="5"/>
      <c r="W5" s="5"/>
      <c r="X5" s="5"/>
      <c r="Y5" s="5"/>
      <c r="Z5" s="5"/>
    </row>
    <row r="6" spans="1:26" x14ac:dyDescent="0.3">
      <c r="A6" s="5"/>
      <c r="B6" s="5"/>
      <c r="C6" s="5"/>
      <c r="D6" s="5"/>
      <c r="E6" s="5"/>
      <c r="F6" s="5"/>
      <c r="G6" s="5"/>
      <c r="H6" s="5"/>
      <c r="I6" s="5"/>
      <c r="J6" s="5"/>
      <c r="K6" s="5"/>
      <c r="L6" s="5"/>
      <c r="M6" s="5"/>
      <c r="N6" s="5"/>
      <c r="O6" s="5"/>
      <c r="P6" s="5"/>
      <c r="Q6" s="5"/>
      <c r="R6" s="5"/>
      <c r="S6" s="5"/>
      <c r="T6" s="5"/>
      <c r="U6" s="5"/>
      <c r="V6" s="5"/>
      <c r="W6" s="5"/>
      <c r="X6" s="5"/>
      <c r="Y6" s="5"/>
      <c r="Z6" s="5"/>
    </row>
    <row r="7" spans="1:26" x14ac:dyDescent="0.3">
      <c r="A7" s="5"/>
      <c r="B7" s="5"/>
      <c r="C7" s="5"/>
      <c r="D7" s="5"/>
      <c r="E7" s="5"/>
      <c r="F7" s="5"/>
      <c r="G7" s="5"/>
      <c r="H7" s="5"/>
      <c r="I7" s="5"/>
      <c r="J7" s="5"/>
      <c r="K7" s="5"/>
      <c r="L7" s="5"/>
      <c r="M7" s="5"/>
      <c r="N7" s="5"/>
      <c r="O7" s="5"/>
      <c r="P7" s="5"/>
      <c r="Q7" s="5"/>
      <c r="R7" s="5"/>
      <c r="S7" s="5"/>
      <c r="T7" s="5"/>
      <c r="U7" s="5"/>
      <c r="V7" s="5"/>
      <c r="W7" s="5"/>
      <c r="X7" s="5"/>
      <c r="Y7" s="5"/>
      <c r="Z7" s="5"/>
    </row>
    <row r="8" spans="1:26" x14ac:dyDescent="0.3">
      <c r="A8" s="5"/>
      <c r="B8" s="5"/>
      <c r="C8" s="5"/>
      <c r="D8" s="5"/>
      <c r="E8" s="5"/>
      <c r="F8" s="5"/>
      <c r="G8" s="5"/>
      <c r="H8" s="5"/>
      <c r="I8" s="5"/>
      <c r="J8" s="5"/>
      <c r="K8" s="5"/>
      <c r="L8" s="5"/>
      <c r="M8" s="5"/>
      <c r="N8" s="5"/>
      <c r="O8" s="5"/>
      <c r="P8" s="5"/>
      <c r="Q8" s="5"/>
      <c r="R8" s="5"/>
      <c r="S8" s="5"/>
      <c r="T8" s="5"/>
      <c r="U8" s="5"/>
      <c r="V8" s="5"/>
      <c r="W8" s="5"/>
      <c r="X8" s="5"/>
      <c r="Y8" s="5"/>
      <c r="Z8" s="5"/>
    </row>
    <row r="9" spans="1:26" x14ac:dyDescent="0.3">
      <c r="A9" s="5"/>
      <c r="B9" s="5"/>
      <c r="C9" s="5"/>
      <c r="D9" s="5"/>
      <c r="E9" s="5"/>
      <c r="F9" s="5"/>
      <c r="G9" s="5"/>
      <c r="H9" s="5"/>
      <c r="I9" s="5"/>
      <c r="J9" s="5"/>
      <c r="K9" s="5"/>
      <c r="L9" s="5"/>
      <c r="M9" s="5"/>
      <c r="N9" s="5"/>
      <c r="O9" s="5"/>
      <c r="P9" s="5"/>
      <c r="Q9" s="5"/>
      <c r="R9" s="5"/>
      <c r="S9" s="5"/>
      <c r="T9" s="5"/>
      <c r="U9" s="5"/>
      <c r="V9" s="5"/>
      <c r="W9" s="5"/>
      <c r="X9" s="5"/>
      <c r="Y9" s="5"/>
      <c r="Z9" s="5"/>
    </row>
    <row r="10" spans="1:26" x14ac:dyDescent="0.3">
      <c r="A10" s="5"/>
      <c r="B10" s="5"/>
      <c r="C10" s="5"/>
      <c r="D10" s="5"/>
      <c r="E10" s="5"/>
      <c r="F10" s="5"/>
      <c r="G10" s="5"/>
      <c r="H10" s="5"/>
      <c r="I10" s="5"/>
      <c r="J10" s="5"/>
      <c r="K10" s="5"/>
      <c r="L10" s="5"/>
      <c r="M10" s="5"/>
      <c r="N10" s="5"/>
      <c r="O10" s="5"/>
      <c r="P10" s="5"/>
      <c r="Q10" s="5"/>
      <c r="R10" s="5"/>
      <c r="S10" s="5"/>
      <c r="T10" s="5"/>
      <c r="U10" s="5"/>
      <c r="V10" s="5"/>
      <c r="W10" s="5"/>
      <c r="X10" s="5"/>
      <c r="Y10" s="5"/>
      <c r="Z10" s="5"/>
    </row>
    <row r="11" spans="1:26" x14ac:dyDescent="0.3">
      <c r="A11" s="5"/>
      <c r="B11" s="5"/>
      <c r="C11" s="5"/>
      <c r="D11" s="5"/>
      <c r="E11" s="5"/>
      <c r="F11" s="5"/>
      <c r="G11" s="5"/>
      <c r="H11" s="5"/>
      <c r="I11" s="5"/>
      <c r="J11" s="5"/>
      <c r="K11" s="5"/>
      <c r="L11" s="5"/>
      <c r="M11" s="5"/>
      <c r="N11" s="5"/>
      <c r="O11" s="5"/>
      <c r="P11" s="5"/>
      <c r="Q11" s="5"/>
      <c r="R11" s="5"/>
      <c r="S11" s="5"/>
      <c r="T11" s="5"/>
      <c r="U11" s="5"/>
      <c r="V11" s="5"/>
      <c r="W11" s="5"/>
      <c r="X11" s="5"/>
      <c r="Y11" s="5"/>
      <c r="Z11" s="5"/>
    </row>
    <row r="12" spans="1:26" x14ac:dyDescent="0.3">
      <c r="A12" s="5"/>
      <c r="B12" s="5"/>
      <c r="C12" s="5"/>
      <c r="D12" s="5"/>
      <c r="E12" s="5"/>
      <c r="F12" s="5"/>
      <c r="G12" s="5"/>
      <c r="H12" s="5"/>
      <c r="I12" s="5"/>
      <c r="J12" s="5"/>
      <c r="K12" s="5"/>
      <c r="L12" s="5"/>
      <c r="M12" s="5"/>
      <c r="N12" s="5"/>
      <c r="O12" s="5"/>
      <c r="P12" s="5"/>
      <c r="Q12" s="5"/>
      <c r="R12" s="5"/>
      <c r="S12" s="5"/>
      <c r="T12" s="5"/>
      <c r="U12" s="5"/>
      <c r="V12" s="5"/>
      <c r="W12" s="5"/>
      <c r="X12" s="5"/>
      <c r="Y12" s="5"/>
      <c r="Z12" s="5"/>
    </row>
    <row r="13" spans="1:26" x14ac:dyDescent="0.3">
      <c r="A13" s="5"/>
      <c r="B13" s="5"/>
      <c r="C13" s="5"/>
      <c r="D13" s="5"/>
      <c r="E13" s="5"/>
      <c r="F13" s="5"/>
      <c r="G13" s="5"/>
      <c r="H13" s="5"/>
      <c r="I13" s="5"/>
      <c r="J13" s="5"/>
      <c r="K13" s="5"/>
      <c r="L13" s="5"/>
      <c r="M13" s="5"/>
      <c r="N13" s="5"/>
      <c r="O13" s="5"/>
      <c r="P13" s="5"/>
      <c r="Q13" s="5"/>
      <c r="R13" s="5"/>
      <c r="S13" s="5"/>
      <c r="T13" s="5"/>
      <c r="U13" s="5"/>
      <c r="V13" s="5"/>
      <c r="W13" s="5"/>
      <c r="X13" s="5"/>
      <c r="Y13" s="5"/>
      <c r="Z13" s="5"/>
    </row>
    <row r="14" spans="1:26" x14ac:dyDescent="0.3">
      <c r="A14" s="5"/>
      <c r="B14" s="5"/>
      <c r="C14" s="5"/>
      <c r="D14" s="5"/>
      <c r="E14" s="5"/>
      <c r="F14" s="5"/>
      <c r="G14" s="5"/>
      <c r="H14" s="5"/>
      <c r="I14" s="5"/>
      <c r="J14" s="5"/>
      <c r="K14" s="5"/>
      <c r="L14" s="5"/>
      <c r="M14" s="5"/>
      <c r="N14" s="5"/>
      <c r="O14" s="5"/>
      <c r="P14" s="5"/>
      <c r="Q14" s="5"/>
      <c r="R14" s="5"/>
      <c r="S14" s="5"/>
      <c r="T14" s="5"/>
      <c r="U14" s="5"/>
      <c r="V14" s="5"/>
      <c r="W14" s="5"/>
      <c r="X14" s="5"/>
      <c r="Y14" s="5"/>
      <c r="Z14" s="5"/>
    </row>
    <row r="15" spans="1:26" x14ac:dyDescent="0.3">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x14ac:dyDescent="0.3">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5.6" x14ac:dyDescent="0.3">
      <c r="A17" s="5"/>
      <c r="B17" s="7" t="s">
        <v>5</v>
      </c>
      <c r="C17" s="6"/>
      <c r="D17" s="6"/>
      <c r="E17" s="6"/>
      <c r="F17" s="6"/>
      <c r="G17" s="6"/>
      <c r="H17" s="6"/>
      <c r="I17" s="6"/>
      <c r="J17" s="6"/>
      <c r="K17" s="5"/>
      <c r="L17" s="5"/>
      <c r="M17" s="5"/>
      <c r="N17" s="5"/>
      <c r="O17" s="5"/>
      <c r="P17" s="5"/>
      <c r="Q17" s="5"/>
      <c r="R17" s="5"/>
      <c r="S17" s="5"/>
      <c r="T17" s="5"/>
      <c r="U17" s="5"/>
      <c r="V17" s="5"/>
      <c r="W17" s="5"/>
      <c r="X17" s="5"/>
      <c r="Y17" s="5"/>
      <c r="Z17" s="5"/>
    </row>
    <row r="18" spans="1:26" x14ac:dyDescent="0.3">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x14ac:dyDescent="0.3">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x14ac:dyDescent="0.3">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x14ac:dyDescent="0.3">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x14ac:dyDescent="0.3">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x14ac:dyDescent="0.3">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x14ac:dyDescent="0.3">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x14ac:dyDescent="0.3">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x14ac:dyDescent="0.3">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x14ac:dyDescent="0.3">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x14ac:dyDescent="0.3">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x14ac:dyDescent="0.3">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x14ac:dyDescent="0.3">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x14ac:dyDescent="0.3">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x14ac:dyDescent="0.3">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x14ac:dyDescent="0.3">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x14ac:dyDescent="0.3">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x14ac:dyDescent="0.3">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x14ac:dyDescent="0.3">
      <c r="T36" s="5"/>
      <c r="U36" s="5"/>
      <c r="V36" s="5"/>
      <c r="W36" s="5"/>
      <c r="X36" s="5"/>
      <c r="Y36" s="5"/>
      <c r="Z36"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A635-DE4C-4610-898D-BDBFAFEC414A}">
  <dimension ref="A1:AR46"/>
  <sheetViews>
    <sheetView zoomScale="135" zoomScaleNormal="140" workbookViewId="0"/>
  </sheetViews>
  <sheetFormatPr defaultRowHeight="14.4" x14ac:dyDescent="0.3"/>
  <sheetData>
    <row r="1" spans="1:44"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row>
    <row r="2" spans="1:44"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row>
    <row r="3" spans="1:44"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row>
    <row r="4" spans="1:44" x14ac:dyDescent="0.3">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row>
    <row r="5" spans="1:44"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row>
    <row r="6" spans="1:44"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row>
    <row r="7" spans="1:44"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row>
    <row r="8" spans="1:44"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row>
    <row r="9" spans="1:44"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row>
    <row r="10" spans="1:44"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row>
    <row r="11" spans="1:44"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row>
    <row r="12" spans="1:44"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row>
    <row r="13" spans="1:44"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row>
    <row r="14" spans="1:44" x14ac:dyDescent="0.3">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row>
    <row r="15" spans="1:44"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row>
    <row r="16" spans="1:44"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row>
    <row r="17" spans="1:44"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row>
    <row r="18" spans="1:44"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row>
    <row r="19" spans="1:44"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row>
    <row r="20" spans="1:44"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row>
    <row r="21" spans="1:44"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row>
    <row r="22" spans="1:44"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row>
    <row r="23" spans="1:44"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row>
    <row r="24" spans="1:44"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row>
    <row r="25" spans="1:44"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row>
    <row r="26" spans="1:44"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row>
    <row r="27" spans="1:44"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row>
    <row r="28" spans="1:44"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row>
    <row r="29" spans="1:44"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row>
    <row r="30" spans="1:44"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row>
    <row r="31" spans="1:44"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row>
    <row r="32" spans="1:44"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row>
    <row r="33" spans="1:44"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row>
    <row r="34" spans="1:44"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row>
    <row r="35" spans="1:44"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row>
    <row r="36" spans="1:44"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row>
    <row r="37" spans="1:44"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row>
    <row r="38" spans="1:44"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row>
    <row r="39" spans="1:44"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row>
    <row r="40" spans="1:44"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row>
    <row r="41" spans="1:44"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row>
    <row r="42" spans="1:44"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row>
    <row r="43" spans="1:44"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row>
    <row r="44" spans="1:44"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row>
    <row r="45" spans="1:44"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row>
    <row r="46" spans="1:44"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B5E524A-BBCD-48CE-8B09-C537770D9DEF}">
  <ds:schemaRefs/>
</ds:datastoreItem>
</file>

<file path=customXml/itemProps2.xml><?xml version="1.0" encoding="utf-8"?>
<ds:datastoreItem xmlns:ds="http://schemas.openxmlformats.org/officeDocument/2006/customXml" ds:itemID="{C27A7970-ED9C-42C1-B5E7-BB920283E0CE}">
  <ds:schemaRefs/>
</ds:datastoreItem>
</file>

<file path=customXml/itemProps3.xml><?xml version="1.0" encoding="utf-8"?>
<ds:datastoreItem xmlns:ds="http://schemas.openxmlformats.org/officeDocument/2006/customXml" ds:itemID="{F7B6BEBD-2F1B-4003-B4C2-23B3C85F7D82}">
  <ds:schemaRefs/>
</ds:datastoreItem>
</file>

<file path=customXml/itemProps4.xml><?xml version="1.0" encoding="utf-8"?>
<ds:datastoreItem xmlns:ds="http://schemas.openxmlformats.org/officeDocument/2006/customXml" ds:itemID="{4AB44CDA-F178-4B42-853A-239D70421A53}">
  <ds:schemaRefs/>
</ds:datastoreItem>
</file>

<file path=customXml/itemProps5.xml><?xml version="1.0" encoding="utf-8"?>
<ds:datastoreItem xmlns:ds="http://schemas.openxmlformats.org/officeDocument/2006/customXml" ds:itemID="{05A4BCB2-5AAE-4658-8D4C-346324F25E90}">
  <ds:schemaRefs/>
</ds:datastoreItem>
</file>

<file path=customXml/itemProps6.xml><?xml version="1.0" encoding="utf-8"?>
<ds:datastoreItem xmlns:ds="http://schemas.openxmlformats.org/officeDocument/2006/customXml" ds:itemID="{0E3D8AFF-FA26-424F-BECA-084A829829FA}">
  <ds:schemaRefs/>
</ds:datastoreItem>
</file>

<file path=customXml/itemProps7.xml><?xml version="1.0" encoding="utf-8"?>
<ds:datastoreItem xmlns:ds="http://schemas.openxmlformats.org/officeDocument/2006/customXml" ds:itemID="{5DA40EED-4E36-4BC0-B26D-871FC3A8282F}">
  <ds:schemaRefs/>
</ds:datastoreItem>
</file>

<file path=customXml/itemProps8.xml><?xml version="1.0" encoding="utf-8"?>
<ds:datastoreItem xmlns:ds="http://schemas.openxmlformats.org/officeDocument/2006/customXml" ds:itemID="{B5B9F52E-1BA2-4D79-873D-89723DA23B3F}">
  <ds:schemaRefs/>
</ds:datastoreItem>
</file>

<file path=customXml/itemProps9.xml><?xml version="1.0" encoding="utf-8"?>
<ds:datastoreItem xmlns:ds="http://schemas.openxmlformats.org/officeDocument/2006/customXml" ds:itemID="{97B98389-B297-4F6B-8C5E-367F13AA034A}">
  <ds:schemaRefs/>
</ds:datastoreItem>
</file>

<file path=customXml/itemProps10.xml><?xml version="1.0" encoding="utf-8"?>
<ds:datastoreItem xmlns:ds="http://schemas.openxmlformats.org/officeDocument/2006/customXml" ds:itemID="{72CD91AC-52AD-4798-8116-55934C0C79FA}">
  <ds:schemaRefs/>
</ds:datastoreItem>
</file>

<file path=customXml/itemProps11.xml><?xml version="1.0" encoding="utf-8"?>
<ds:datastoreItem xmlns:ds="http://schemas.openxmlformats.org/officeDocument/2006/customXml" ds:itemID="{2FC2ECAA-1E00-4141-8C9A-30061B99CFB0}">
  <ds:schemaRefs/>
</ds:datastoreItem>
</file>

<file path=customXml/itemProps12.xml><?xml version="1.0" encoding="utf-8"?>
<ds:datastoreItem xmlns:ds="http://schemas.openxmlformats.org/officeDocument/2006/customXml" ds:itemID="{DF2E6BBA-81D4-49E1-B6B6-D167D3D3BFAD}">
  <ds:schemaRefs/>
</ds:datastoreItem>
</file>

<file path=customXml/itemProps13.xml><?xml version="1.0" encoding="utf-8"?>
<ds:datastoreItem xmlns:ds="http://schemas.openxmlformats.org/officeDocument/2006/customXml" ds:itemID="{8F07EF13-AB62-4F80-B9BC-8804ED7AC144}">
  <ds:schemaRefs/>
</ds:datastoreItem>
</file>

<file path=customXml/itemProps14.xml><?xml version="1.0" encoding="utf-8"?>
<ds:datastoreItem xmlns:ds="http://schemas.openxmlformats.org/officeDocument/2006/customXml" ds:itemID="{D8F7B8F8-A17A-4567-B4AB-B94DA0B713DD}">
  <ds:schemaRefs>
    <ds:schemaRef ds:uri="http://schemas.microsoft.com/DataMashup"/>
  </ds:schemaRefs>
</ds:datastoreItem>
</file>

<file path=customXml/itemProps15.xml><?xml version="1.0" encoding="utf-8"?>
<ds:datastoreItem xmlns:ds="http://schemas.openxmlformats.org/officeDocument/2006/customXml" ds:itemID="{FE289409-7B4F-4E67-A55E-7A78B1277B6B}">
  <ds:schemaRefs/>
</ds:datastoreItem>
</file>

<file path=customXml/itemProps16.xml><?xml version="1.0" encoding="utf-8"?>
<ds:datastoreItem xmlns:ds="http://schemas.openxmlformats.org/officeDocument/2006/customXml" ds:itemID="{D5F7618A-E72B-4D9F-B409-52F01B7DD289}">
  <ds:schemaRefs/>
</ds:datastoreItem>
</file>

<file path=customXml/itemProps17.xml><?xml version="1.0" encoding="utf-8"?>
<ds:datastoreItem xmlns:ds="http://schemas.openxmlformats.org/officeDocument/2006/customXml" ds:itemID="{E656F725-E9B9-4E55-8631-1DBF16109DD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Dashboard</vt:lpstr>
      <vt:lpstr>Satisfaction score daily trends</vt:lpstr>
      <vt:lpstr>Daily ER No Of Patient</vt:lpstr>
      <vt:lpstr>Average wait time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kumar</dc:creator>
  <cp:lastModifiedBy>aditya kumar</cp:lastModifiedBy>
  <dcterms:created xsi:type="dcterms:W3CDTF">2026-03-23T04:51:05Z</dcterms:created>
  <dcterms:modified xsi:type="dcterms:W3CDTF">2026-03-24T07:50:07Z</dcterms:modified>
</cp:coreProperties>
</file>